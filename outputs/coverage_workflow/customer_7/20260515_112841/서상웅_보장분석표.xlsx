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768" yWindow="3768" windowWidth="23040" windowHeight="13560" tabRatio="751" firstSheet="0" activeTab="0" autoFilterDateGrouping="1"/>
  </bookViews>
  <sheets>
    <sheet xmlns:r="http://schemas.openxmlformats.org/officeDocument/2006/relationships" name="보장분석 비교" sheetId="1" state="visible" r:id="rId1"/>
  </sheets>
  <definedNames>
    <definedName name="_xlnm.Print_Area" localSheetId="0">'보장분석 비교'!$A$1:$O$68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mm&quot;월&quot;\ dd&quot;일&quot;"/>
    <numFmt numFmtId="166" formatCode="0&quot;만원&quot;"/>
    <numFmt numFmtId="167" formatCode="&quot;₩&quot;#,##0_);[Red]\(&quot;₩&quot;#,##0\)"/>
    <numFmt numFmtId="168" formatCode="0&quot;년&quot;"/>
    <numFmt numFmtId="169" formatCode="0&quot;세&quot;"/>
    <numFmt numFmtId="170" formatCode="#,##0&quot;만원&quot;"/>
    <numFmt numFmtId="171" formatCode="#,##0&quot;원&quot;"/>
  </numFmts>
  <fonts count="24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6100"/>
      <sz val="11"/>
    </font>
    <font>
      <name val="맑은 고딕"/>
      <charset val="129"/>
      <family val="3"/>
      <color rgb="FF9C0006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theme="9"/>
      <sz val="10"/>
      <scheme val="minor"/>
    </font>
    <font>
      <name val="맑은 고딕"/>
      <charset val="129"/>
      <family val="2"/>
      <sz val="8"/>
      <scheme val="minor"/>
    </font>
    <font>
      <name val="HY헤드라인M"/>
      <charset val="129"/>
      <family val="1"/>
      <color theme="1"/>
      <sz val="11"/>
    </font>
    <font>
      <name val="HY헤드라인M"/>
      <charset val="129"/>
      <family val="1"/>
      <color rgb="FF000000"/>
      <sz val="11"/>
    </font>
    <font>
      <name val="HY헤드라인M"/>
      <charset val="129"/>
      <family val="1"/>
      <color rgb="FF000000"/>
      <sz val="12"/>
    </font>
    <font>
      <name val="HY헤드라인M"/>
      <charset val="129"/>
      <family val="1"/>
      <color theme="0"/>
      <sz val="12"/>
    </font>
    <font>
      <name val="HY헤드라인M"/>
      <charset val="129"/>
      <family val="1"/>
      <color rgb="FF000000"/>
      <sz val="26"/>
    </font>
    <font>
      <name val="HY헤드라인M"/>
      <charset val="129"/>
      <family val="1"/>
      <color rgb="FF0000FF"/>
      <sz val="11"/>
    </font>
    <font>
      <name val="HY헤드라인M"/>
      <charset val="129"/>
      <family val="1"/>
      <color theme="0"/>
      <sz val="11"/>
    </font>
    <font>
      <name val="HY헤드라인M"/>
      <charset val="129"/>
      <family val="1"/>
      <color theme="0"/>
      <sz val="10"/>
    </font>
    <font>
      <name val="YD윤고딕 140"/>
      <charset val="129"/>
      <family val="1"/>
      <color rgb="FF000000"/>
      <sz val="14"/>
    </font>
    <font>
      <name val="YD윤고딕 140"/>
      <charset val="129"/>
      <family val="1"/>
      <color rgb="FF0000FF"/>
      <sz val="14"/>
    </font>
    <font>
      <name val="YD윤고딕 140"/>
      <charset val="129"/>
      <family val="1"/>
      <color theme="1"/>
      <sz val="14"/>
    </font>
    <font>
      <name val="YD윤고딕 140"/>
      <charset val="129"/>
      <family val="1"/>
      <color rgb="FFFF0000"/>
      <sz val="14"/>
    </font>
    <font>
      <name val="YD윤고딕 140"/>
      <charset val="129"/>
      <family val="1"/>
      <color rgb="FF002060"/>
      <sz val="14"/>
    </font>
    <font>
      <name val="YD윤고딕 140"/>
      <charset val="129"/>
      <family val="1"/>
      <color theme="0"/>
      <sz val="14"/>
    </font>
    <font>
      <name val="YD윤고딕 140"/>
      <charset val="129"/>
      <family val="1"/>
      <sz val="14"/>
    </font>
  </fonts>
  <fills count="1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CE727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ck">
        <color theme="1" tint="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9">
    <xf numFmtId="0" fontId="0" fillId="0" borderId="0" applyAlignment="1">
      <alignment vertical="center"/>
    </xf>
    <xf numFmtId="41" fontId="6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  <xf numFmtId="170" fontId="7" fillId="0" borderId="52" applyAlignment="1">
      <alignment horizontal="center" vertical="center"/>
    </xf>
    <xf numFmtId="0" fontId="1" fillId="0" borderId="0" applyAlignment="1">
      <alignment vertical="center"/>
    </xf>
    <xf numFmtId="41" fontId="6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1">
      <alignment vertical="center"/>
    </xf>
    <xf numFmtId="165" fontId="11" fillId="0" borderId="0" applyAlignment="1" pivotButton="0" quotePrefix="0" xfId="0">
      <alignment vertical="center"/>
    </xf>
    <xf numFmtId="9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6" fontId="10" fillId="7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14" fontId="10" fillId="0" borderId="0" applyAlignment="1" pivotButton="0" quotePrefix="0" xfId="0">
      <alignment vertical="center"/>
    </xf>
    <xf numFmtId="168" fontId="10" fillId="0" borderId="0" applyAlignment="1" pivotButton="0" quotePrefix="0" xfId="0">
      <alignment vertical="center"/>
    </xf>
    <xf numFmtId="0" fontId="16" fillId="12" borderId="80" applyAlignment="1" pivotButton="0" quotePrefix="0" xfId="7">
      <alignment vertical="center" wrapText="1"/>
    </xf>
    <xf numFmtId="164" fontId="4" fillId="0" borderId="0" applyAlignment="1" pivotButton="0" quotePrefix="0" xfId="1">
      <alignment vertical="center"/>
    </xf>
    <xf numFmtId="0" fontId="16" fillId="12" borderId="84" applyAlignment="1" pivotButton="0" quotePrefix="0" xfId="7">
      <alignment vertical="center" wrapText="1"/>
    </xf>
    <xf numFmtId="0" fontId="10" fillId="5" borderId="85" applyAlignment="1" pivotButton="0" quotePrefix="0" xfId="0">
      <alignment horizontal="center" vertical="center"/>
    </xf>
    <xf numFmtId="14" fontId="10" fillId="0" borderId="87" applyAlignment="1" pivotButton="0" quotePrefix="0" xfId="0">
      <alignment horizontal="center" vertical="center"/>
    </xf>
    <xf numFmtId="168" fontId="10" fillId="0" borderId="88" applyAlignment="1" pivotButton="0" quotePrefix="0" xfId="0">
      <alignment horizontal="center" vertical="center"/>
    </xf>
    <xf numFmtId="169" fontId="10" fillId="0" borderId="88" applyAlignment="1" pivotButton="0" quotePrefix="0" xfId="0">
      <alignment horizontal="center" vertical="center"/>
    </xf>
    <xf numFmtId="170" fontId="10" fillId="8" borderId="76" applyAlignment="1" pivotButton="0" quotePrefix="0" xfId="0">
      <alignment horizontal="center" vertical="center"/>
    </xf>
    <xf numFmtId="170" fontId="10" fillId="8" borderId="89" applyAlignment="1" pivotButton="0" quotePrefix="0" xfId="0">
      <alignment horizontal="center" vertical="center"/>
    </xf>
    <xf numFmtId="170" fontId="9" fillId="8" borderId="89" applyAlignment="1" pivotButton="0" quotePrefix="0" xfId="0">
      <alignment horizontal="center" vertical="center"/>
    </xf>
    <xf numFmtId="170" fontId="9" fillId="8" borderId="77" applyAlignment="1" pivotButton="0" quotePrefix="0" xfId="0">
      <alignment horizontal="center" vertical="center"/>
    </xf>
    <xf numFmtId="170" fontId="9" fillId="0" borderId="90" applyAlignment="1" pivotButton="0" quotePrefix="0" xfId="0">
      <alignment horizontal="center" vertical="center"/>
    </xf>
    <xf numFmtId="170" fontId="9" fillId="0" borderId="77" applyAlignment="1" pivotButton="0" quotePrefix="0" xfId="0">
      <alignment horizontal="center" vertical="center"/>
    </xf>
    <xf numFmtId="170" fontId="9" fillId="8" borderId="90" applyAlignment="1" pivotButton="0" quotePrefix="0" xfId="0">
      <alignment horizontal="center" vertical="center"/>
    </xf>
    <xf numFmtId="170" fontId="9" fillId="0" borderId="89" applyAlignment="1" pivotButton="0" quotePrefix="0" xfId="0">
      <alignment horizontal="center" vertical="center"/>
    </xf>
    <xf numFmtId="170" fontId="9" fillId="8" borderId="18" applyAlignment="1" pivotButton="0" quotePrefix="0" xfId="0">
      <alignment horizontal="center" vertical="center"/>
    </xf>
    <xf numFmtId="170" fontId="9" fillId="0" borderId="53" applyAlignment="1" pivotButton="0" quotePrefix="0" xfId="0">
      <alignment horizontal="center" vertical="center"/>
    </xf>
    <xf numFmtId="170" fontId="10" fillId="8" borderId="91" applyAlignment="1" pivotButton="0" quotePrefix="0" xfId="0">
      <alignment horizontal="center" vertical="center"/>
    </xf>
    <xf numFmtId="167" fontId="14" fillId="0" borderId="76" applyAlignment="1" pivotButton="0" quotePrefix="0" xfId="1">
      <alignment horizontal="center" vertical="center"/>
    </xf>
    <xf numFmtId="0" fontId="11" fillId="12" borderId="18" applyAlignment="1" pivotButton="0" quotePrefix="0" xfId="0">
      <alignment vertical="center"/>
    </xf>
    <xf numFmtId="0" fontId="17" fillId="5" borderId="58" applyAlignment="1" pivotButton="0" quotePrefix="0" xfId="0">
      <alignment horizontal="center" vertical="center"/>
    </xf>
    <xf numFmtId="0" fontId="17" fillId="5" borderId="7" applyAlignment="1" pivotButton="0" quotePrefix="0" xfId="0">
      <alignment horizontal="center" vertical="center"/>
    </xf>
    <xf numFmtId="0" fontId="17" fillId="5" borderId="12" applyAlignment="1" pivotButton="0" quotePrefix="0" xfId="0">
      <alignment horizontal="center" vertical="center"/>
    </xf>
    <xf numFmtId="0" fontId="17" fillId="6" borderId="12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14" fontId="17" fillId="0" borderId="54" applyAlignment="1" pivotButton="0" quotePrefix="0" xfId="0">
      <alignment horizontal="center" vertical="center"/>
    </xf>
    <xf numFmtId="14" fontId="17" fillId="0" borderId="38" applyAlignment="1" pivotButton="0" quotePrefix="0" xfId="0">
      <alignment horizontal="center" vertical="center"/>
    </xf>
    <xf numFmtId="14" fontId="17" fillId="0" borderId="36" applyAlignment="1" pivotButton="0" quotePrefix="0" xfId="0">
      <alignment horizontal="center" vertical="center"/>
    </xf>
    <xf numFmtId="14" fontId="21" fillId="5" borderId="39" applyAlignment="1" pivotButton="0" quotePrefix="0" xfId="0">
      <alignment horizontal="center" vertical="center" wrapText="1"/>
    </xf>
    <xf numFmtId="14" fontId="21" fillId="6" borderId="63" applyAlignment="1" pivotButton="0" quotePrefix="0" xfId="0">
      <alignment horizontal="center" vertical="center" wrapText="1"/>
    </xf>
    <xf numFmtId="168" fontId="17" fillId="0" borderId="34" applyAlignment="1" pivotButton="0" quotePrefix="0" xfId="0">
      <alignment horizontal="center" vertical="center"/>
    </xf>
    <xf numFmtId="168" fontId="17" fillId="0" borderId="35" applyAlignment="1" pivotButton="0" quotePrefix="0" xfId="0">
      <alignment horizontal="center" vertical="center"/>
    </xf>
    <xf numFmtId="168" fontId="17" fillId="0" borderId="37" applyAlignment="1" pivotButton="0" quotePrefix="0" xfId="0">
      <alignment horizontal="center" vertical="center"/>
    </xf>
    <xf numFmtId="168" fontId="21" fillId="5" borderId="40" applyAlignment="1" pivotButton="0" quotePrefix="0" xfId="0">
      <alignment horizontal="center" vertical="center" wrapText="1"/>
    </xf>
    <xf numFmtId="168" fontId="21" fillId="6" borderId="62" applyAlignment="1" pivotButton="0" quotePrefix="0" xfId="0">
      <alignment horizontal="center" vertical="center" wrapText="1"/>
    </xf>
    <xf numFmtId="169" fontId="17" fillId="0" borderId="34" applyAlignment="1" pivotButton="0" quotePrefix="0" xfId="0">
      <alignment horizontal="center" vertical="center"/>
    </xf>
    <xf numFmtId="169" fontId="17" fillId="0" borderId="35" applyAlignment="1" pivotButton="0" quotePrefix="0" xfId="0">
      <alignment horizontal="center" vertical="center"/>
    </xf>
    <xf numFmtId="169" fontId="17" fillId="0" borderId="37" applyAlignment="1" pivotButton="0" quotePrefix="0" xfId="0">
      <alignment horizontal="center" vertical="center"/>
    </xf>
    <xf numFmtId="170" fontId="17" fillId="8" borderId="43" applyAlignment="1" pivotButton="0" quotePrefix="0" xfId="0">
      <alignment horizontal="center" vertical="center"/>
    </xf>
    <xf numFmtId="170" fontId="17" fillId="8" borderId="33" applyAlignment="1" pivotButton="0" quotePrefix="0" xfId="0">
      <alignment horizontal="center" vertical="center"/>
    </xf>
    <xf numFmtId="170" fontId="17" fillId="8" borderId="44" applyAlignment="1" pivotButton="0" quotePrefix="0" xfId="0">
      <alignment horizontal="center" vertical="center"/>
    </xf>
    <xf numFmtId="170" fontId="17" fillId="8" borderId="74" applyAlignment="1" pivotButton="0" quotePrefix="0" xfId="0">
      <alignment horizontal="center" vertical="center"/>
    </xf>
    <xf numFmtId="170" fontId="22" fillId="9" borderId="24" applyAlignment="1" pivotButton="0" quotePrefix="0" xfId="0">
      <alignment horizontal="center" vertical="center" wrapText="1"/>
    </xf>
    <xf numFmtId="170" fontId="22" fillId="10" borderId="73" applyAlignment="1" pivotButton="0" quotePrefix="0" xfId="0">
      <alignment horizontal="center" vertical="center" wrapText="1"/>
    </xf>
    <xf numFmtId="170" fontId="19" fillId="8" borderId="44" applyAlignment="1" pivotButton="0" quotePrefix="0" xfId="0">
      <alignment horizontal="center" vertical="center"/>
    </xf>
    <xf numFmtId="170" fontId="19" fillId="8" borderId="43" applyAlignment="1" pivotButton="0" quotePrefix="0" xfId="0">
      <alignment horizontal="center" vertical="center"/>
    </xf>
    <xf numFmtId="170" fontId="17" fillId="8" borderId="1" applyAlignment="1" pivotButton="0" quotePrefix="0" xfId="0">
      <alignment horizontal="center" vertical="center"/>
    </xf>
    <xf numFmtId="170" fontId="17" fillId="8" borderId="66" applyAlignment="1" pivotButton="0" quotePrefix="0" xfId="0">
      <alignment horizontal="center" vertical="center"/>
    </xf>
    <xf numFmtId="170" fontId="23" fillId="5" borderId="10" applyAlignment="1" pivotButton="0" quotePrefix="0" xfId="0">
      <alignment horizontal="center" vertical="center" wrapText="1"/>
    </xf>
    <xf numFmtId="170" fontId="23" fillId="6" borderId="82" applyAlignment="1" pivotButton="0" quotePrefix="0" xfId="0">
      <alignment horizontal="center" vertical="center" wrapText="1"/>
    </xf>
    <xf numFmtId="170" fontId="19" fillId="8" borderId="1" applyAlignment="1" pivotButton="0" quotePrefix="0" xfId="0">
      <alignment horizontal="center" vertical="center"/>
    </xf>
    <xf numFmtId="170" fontId="19" fillId="8" borderId="66" applyAlignment="1" pivotButton="0" quotePrefix="0" xfId="0">
      <alignment horizontal="center" vertical="center"/>
    </xf>
    <xf numFmtId="170" fontId="19" fillId="8" borderId="2" applyAlignment="1" pivotButton="0" quotePrefix="0" xfId="0">
      <alignment horizontal="center" vertical="center"/>
    </xf>
    <xf numFmtId="170" fontId="17" fillId="8" borderId="2" applyAlignment="1" pivotButton="0" quotePrefix="0" xfId="0">
      <alignment horizontal="center" vertical="center"/>
    </xf>
    <xf numFmtId="170" fontId="17" fillId="8" borderId="79" applyAlignment="1" pivotButton="0" quotePrefix="0" xfId="0">
      <alignment horizontal="center" vertical="center"/>
    </xf>
    <xf numFmtId="170" fontId="23" fillId="5" borderId="5" applyAlignment="1" pivotButton="0" quotePrefix="0" xfId="0">
      <alignment horizontal="center" vertical="center" wrapText="1"/>
    </xf>
    <xf numFmtId="170" fontId="23" fillId="6" borderId="51" applyAlignment="1" pivotButton="0" quotePrefix="0" xfId="0">
      <alignment horizontal="center" vertical="center" wrapText="1"/>
    </xf>
    <xf numFmtId="170" fontId="19" fillId="8" borderId="79" applyAlignment="1" pivotButton="0" quotePrefix="0" xfId="0">
      <alignment horizontal="center" vertical="center"/>
    </xf>
    <xf numFmtId="170" fontId="19" fillId="0" borderId="21" applyAlignment="1" pivotButton="0" quotePrefix="0" xfId="0">
      <alignment horizontal="center" vertical="center"/>
    </xf>
    <xf numFmtId="170" fontId="17" fillId="0" borderId="21" applyAlignment="1" pivotButton="0" quotePrefix="0" xfId="0">
      <alignment horizontal="center" vertical="center"/>
    </xf>
    <xf numFmtId="170" fontId="17" fillId="0" borderId="71" applyAlignment="1" pivotButton="0" quotePrefix="0" xfId="0">
      <alignment horizontal="center" vertical="center"/>
    </xf>
    <xf numFmtId="170" fontId="23" fillId="5" borderId="20" applyAlignment="1" pivotButton="0" quotePrefix="0" xfId="0">
      <alignment horizontal="center" vertical="center" wrapText="1"/>
    </xf>
    <xf numFmtId="170" fontId="23" fillId="6" borderId="83" applyAlignment="1" pivotButton="0" quotePrefix="0" xfId="0">
      <alignment horizontal="center" vertical="center" wrapText="1"/>
    </xf>
    <xf numFmtId="170" fontId="19" fillId="0" borderId="71" applyAlignment="1" pivotButton="0" quotePrefix="0" xfId="0">
      <alignment horizontal="center" vertical="center"/>
    </xf>
    <xf numFmtId="170" fontId="19" fillId="0" borderId="2" applyAlignment="1" pivotButton="0" quotePrefix="0" xfId="0">
      <alignment horizontal="center" vertical="center"/>
    </xf>
    <xf numFmtId="170" fontId="17" fillId="0" borderId="2" applyAlignment="1" pivotButton="0" quotePrefix="0" xfId="0">
      <alignment horizontal="center" vertical="center"/>
    </xf>
    <xf numFmtId="170" fontId="17" fillId="0" borderId="79" applyAlignment="1" pivotButton="0" quotePrefix="0" xfId="0">
      <alignment horizontal="center" vertical="center"/>
    </xf>
    <xf numFmtId="170" fontId="19" fillId="0" borderId="79" applyAlignment="1" pivotButton="0" quotePrefix="0" xfId="0">
      <alignment horizontal="center" vertical="center"/>
    </xf>
    <xf numFmtId="170" fontId="19" fillId="8" borderId="21" applyAlignment="1" pivotButton="0" quotePrefix="0" xfId="0">
      <alignment horizontal="center" vertical="center"/>
    </xf>
    <xf numFmtId="170" fontId="23" fillId="8" borderId="21" applyAlignment="1" pivotButton="0" quotePrefix="0" xfId="0">
      <alignment horizontal="center" vertical="center"/>
    </xf>
    <xf numFmtId="170" fontId="17" fillId="8" borderId="21" applyAlignment="1" pivotButton="0" quotePrefix="0" xfId="0">
      <alignment horizontal="center" vertical="center"/>
    </xf>
    <xf numFmtId="170" fontId="23" fillId="8" borderId="71" applyAlignment="1" pivotButton="0" quotePrefix="0" xfId="0">
      <alignment horizontal="center" vertical="center"/>
    </xf>
    <xf numFmtId="170" fontId="22" fillId="9" borderId="20" applyAlignment="1" pivotButton="0" quotePrefix="0" xfId="0">
      <alignment horizontal="center" vertical="center" wrapText="1"/>
    </xf>
    <xf numFmtId="170" fontId="22" fillId="10" borderId="83" applyAlignment="1" pivotButton="0" quotePrefix="0" xfId="0">
      <alignment horizontal="center" vertical="center" wrapText="1"/>
    </xf>
    <xf numFmtId="170" fontId="19" fillId="8" borderId="71" applyAlignment="1" pivotButton="0" quotePrefix="0" xfId="0">
      <alignment horizontal="center" vertical="center"/>
    </xf>
    <xf numFmtId="170" fontId="23" fillId="8" borderId="1" applyAlignment="1" pivotButton="0" quotePrefix="0" xfId="0">
      <alignment horizontal="center" vertical="center"/>
    </xf>
    <xf numFmtId="170" fontId="23" fillId="8" borderId="66" applyAlignment="1" pivotButton="0" quotePrefix="0" xfId="0">
      <alignment horizontal="center" vertical="center"/>
    </xf>
    <xf numFmtId="170" fontId="23" fillId="8" borderId="2" applyAlignment="1" pivotButton="0" quotePrefix="0" xfId="0">
      <alignment horizontal="center" vertical="center"/>
    </xf>
    <xf numFmtId="170" fontId="23" fillId="8" borderId="79" applyAlignment="1" pivotButton="0" quotePrefix="0" xfId="0">
      <alignment horizontal="center" vertical="center"/>
    </xf>
    <xf numFmtId="170" fontId="19" fillId="0" borderId="1" applyAlignment="1" pivotButton="0" quotePrefix="0" xfId="0">
      <alignment horizontal="center" vertical="center"/>
    </xf>
    <xf numFmtId="170" fontId="17" fillId="0" borderId="1" applyAlignment="1" pivotButton="0" quotePrefix="0" xfId="0">
      <alignment horizontal="center" vertical="center"/>
    </xf>
    <xf numFmtId="170" fontId="17" fillId="0" borderId="66" applyAlignment="1" pivotButton="0" quotePrefix="0" xfId="0">
      <alignment horizontal="center" vertical="center"/>
    </xf>
    <xf numFmtId="170" fontId="19" fillId="0" borderId="66" applyAlignment="1" pivotButton="0" quotePrefix="0" xfId="0">
      <alignment horizontal="center" vertical="center"/>
    </xf>
    <xf numFmtId="170" fontId="17" fillId="8" borderId="71" applyAlignment="1" pivotButton="0" quotePrefix="0" xfId="0">
      <alignment horizontal="center" vertical="center"/>
    </xf>
    <xf numFmtId="170" fontId="19" fillId="5" borderId="10" applyAlignment="1" pivotButton="0" quotePrefix="0" xfId="0">
      <alignment horizontal="center" vertical="center" wrapText="1"/>
    </xf>
    <xf numFmtId="170" fontId="19" fillId="6" borderId="82" applyAlignment="1" pivotButton="0" quotePrefix="0" xfId="0">
      <alignment horizontal="center" vertical="center" wrapText="1"/>
    </xf>
    <xf numFmtId="170" fontId="19" fillId="5" borderId="5" applyAlignment="1" pivotButton="0" quotePrefix="0" xfId="0">
      <alignment horizontal="center" vertical="center" wrapText="1"/>
    </xf>
    <xf numFmtId="170" fontId="19" fillId="6" borderId="51" applyAlignment="1" pivotButton="0" quotePrefix="0" xfId="0">
      <alignment horizontal="center" vertical="center" wrapText="1"/>
    </xf>
    <xf numFmtId="170" fontId="17" fillId="8" borderId="13" applyAlignment="1" pivotButton="0" quotePrefix="0" xfId="0">
      <alignment horizontal="center" vertical="center"/>
    </xf>
    <xf numFmtId="170" fontId="17" fillId="8" borderId="19" applyAlignment="1" pivotButton="0" quotePrefix="0" xfId="0">
      <alignment horizontal="center" vertical="center"/>
    </xf>
    <xf numFmtId="170" fontId="17" fillId="8" borderId="14" applyAlignment="1" pivotButton="0" quotePrefix="0" xfId="0">
      <alignment horizontal="center" vertical="center"/>
    </xf>
    <xf numFmtId="170" fontId="17" fillId="8" borderId="70" applyAlignment="1" pivotButton="0" quotePrefix="0" xfId="0">
      <alignment horizontal="center" vertical="center"/>
    </xf>
    <xf numFmtId="170" fontId="23" fillId="5" borderId="6" applyAlignment="1" pivotButton="0" quotePrefix="0" xfId="0">
      <alignment horizontal="center" vertical="center" wrapText="1"/>
    </xf>
    <xf numFmtId="170" fontId="19" fillId="8" borderId="3" applyAlignment="1" pivotButton="0" quotePrefix="0" xfId="0">
      <alignment horizontal="center" vertical="center"/>
    </xf>
    <xf numFmtId="170" fontId="19" fillId="0" borderId="32" applyAlignment="1" pivotButton="0" quotePrefix="0" xfId="0">
      <alignment horizontal="center" vertical="center"/>
    </xf>
    <xf numFmtId="170" fontId="17" fillId="0" borderId="32" applyAlignment="1" pivotButton="0" quotePrefix="0" xfId="0">
      <alignment horizontal="center" vertical="center"/>
    </xf>
    <xf numFmtId="170" fontId="17" fillId="0" borderId="31" applyAlignment="1" pivotButton="0" quotePrefix="0" xfId="0">
      <alignment horizontal="center" vertical="center"/>
    </xf>
    <xf numFmtId="170" fontId="17" fillId="0" borderId="42" applyAlignment="1" pivotButton="0" quotePrefix="0" xfId="0">
      <alignment horizontal="center" vertical="center"/>
    </xf>
    <xf numFmtId="170" fontId="17" fillId="0" borderId="72" applyAlignment="1" pivotButton="0" quotePrefix="0" xfId="0">
      <alignment horizontal="center" vertical="center"/>
    </xf>
    <xf numFmtId="170" fontId="23" fillId="5" borderId="49" applyAlignment="1" pivotButton="0" quotePrefix="0" xfId="0">
      <alignment horizontal="center" vertical="center" wrapText="1"/>
    </xf>
    <xf numFmtId="170" fontId="23" fillId="6" borderId="68" applyAlignment="1" pivotButton="0" quotePrefix="0" xfId="0">
      <alignment horizontal="center" vertical="center" wrapText="1"/>
    </xf>
    <xf numFmtId="170" fontId="19" fillId="0" borderId="42" applyAlignment="1" pivotButton="0" quotePrefix="0" xfId="0">
      <alignment horizontal="center" vertical="center"/>
    </xf>
    <xf numFmtId="170" fontId="17" fillId="8" borderId="55" applyAlignment="1" pivotButton="0" quotePrefix="0" xfId="0">
      <alignment horizontal="center" vertical="center"/>
    </xf>
    <xf numFmtId="170" fontId="17" fillId="8" borderId="46" applyAlignment="1" pivotButton="0" quotePrefix="0" xfId="0">
      <alignment horizontal="center" vertical="center"/>
    </xf>
    <xf numFmtId="170" fontId="17" fillId="8" borderId="45" applyAlignment="1" pivotButton="0" quotePrefix="0" xfId="0">
      <alignment horizontal="center" vertical="center"/>
    </xf>
    <xf numFmtId="170" fontId="17" fillId="8" borderId="75" applyAlignment="1" pivotButton="0" quotePrefix="0" xfId="0">
      <alignment horizontal="center" vertical="center"/>
    </xf>
    <xf numFmtId="170" fontId="17" fillId="5" borderId="65" applyAlignment="1" pivotButton="0" quotePrefix="0" xfId="0">
      <alignment horizontal="center" vertical="center" wrapText="1"/>
    </xf>
    <xf numFmtId="170" fontId="17" fillId="6" borderId="65" applyAlignment="1" pivotButton="0" quotePrefix="0" xfId="0">
      <alignment horizontal="center" vertical="center" wrapText="1"/>
    </xf>
    <xf numFmtId="170" fontId="19" fillId="8" borderId="45" applyAlignment="1" pivotButton="0" quotePrefix="0" xfId="0">
      <alignment horizontal="center" vertical="center"/>
    </xf>
    <xf numFmtId="170" fontId="19" fillId="8" borderId="55" applyAlignment="1" pivotButton="0" quotePrefix="0" xfId="0">
      <alignment horizontal="center" vertical="center"/>
    </xf>
    <xf numFmtId="167" fontId="18" fillId="0" borderId="43" applyAlignment="1" pivotButton="0" quotePrefix="0" xfId="1">
      <alignment horizontal="center" vertical="center"/>
    </xf>
    <xf numFmtId="167" fontId="18" fillId="0" borderId="33" applyAlignment="1" pivotButton="0" quotePrefix="0" xfId="1">
      <alignment horizontal="center" vertical="center"/>
    </xf>
    <xf numFmtId="167" fontId="18" fillId="0" borderId="44" applyAlignment="1" pivotButton="0" quotePrefix="0" xfId="1">
      <alignment horizontal="center" vertical="center"/>
    </xf>
    <xf numFmtId="167" fontId="18" fillId="5" borderId="24" applyAlignment="1" pivotButton="0" quotePrefix="0" xfId="1">
      <alignment horizontal="center" vertical="center" wrapText="1"/>
    </xf>
    <xf numFmtId="167" fontId="20" fillId="6" borderId="73" applyAlignment="1" pivotButton="0" quotePrefix="0" xfId="1">
      <alignment horizontal="center" vertical="center" wrapText="1"/>
    </xf>
    <xf numFmtId="167" fontId="20" fillId="0" borderId="44" applyAlignment="1" pivotButton="0" quotePrefix="0" xfId="1">
      <alignment horizontal="center" vertical="center"/>
    </xf>
    <xf numFmtId="167" fontId="20" fillId="0" borderId="43" applyAlignment="1" pivotButton="0" quotePrefix="0" xfId="1">
      <alignment horizontal="center" vertical="center"/>
    </xf>
    <xf numFmtId="166" fontId="17" fillId="5" borderId="47" applyAlignment="1" pivotButton="0" quotePrefix="0" xfId="0">
      <alignment horizontal="center" vertical="center" wrapText="1"/>
    </xf>
    <xf numFmtId="166" fontId="17" fillId="6" borderId="64" applyAlignment="1" pivotButton="0" quotePrefix="0" xfId="0">
      <alignment horizontal="center" vertical="center" wrapText="1"/>
    </xf>
    <xf numFmtId="166" fontId="17" fillId="5" borderId="5" applyAlignment="1" pivotButton="0" quotePrefix="0" xfId="0">
      <alignment horizontal="center" vertical="center" wrapText="1"/>
    </xf>
    <xf numFmtId="166" fontId="17" fillId="6" borderId="51" applyAlignment="1" pivotButton="0" quotePrefix="0" xfId="0">
      <alignment horizontal="center" vertical="center" wrapText="1"/>
    </xf>
    <xf numFmtId="166" fontId="17" fillId="5" borderId="4" applyAlignment="1" pivotButton="0" quotePrefix="0" xfId="0">
      <alignment horizontal="center" vertical="center" wrapText="1"/>
    </xf>
    <xf numFmtId="166" fontId="17" fillId="6" borderId="48" applyAlignment="1" pivotButton="0" quotePrefix="0" xfId="0">
      <alignment horizontal="center" vertical="center" wrapText="1"/>
    </xf>
    <xf numFmtId="166" fontId="17" fillId="5" borderId="6" applyAlignment="1" pivotButton="0" quotePrefix="0" xfId="0">
      <alignment horizontal="center" vertical="center" wrapText="1"/>
    </xf>
    <xf numFmtId="0" fontId="10" fillId="5" borderId="86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166" fontId="23" fillId="0" borderId="59" applyAlignment="1" pivotButton="0" quotePrefix="0" xfId="0">
      <alignment horizontal="center" vertical="center" shrinkToFit="1"/>
    </xf>
    <xf numFmtId="166" fontId="23" fillId="0" borderId="21" applyAlignment="1" pivotButton="0" quotePrefix="0" xfId="0">
      <alignment horizontal="center" vertical="center" shrinkToFit="1"/>
    </xf>
    <xf numFmtId="166" fontId="23" fillId="0" borderId="71" applyAlignment="1" pivotButton="0" quotePrefix="0" xfId="0">
      <alignment horizontal="center" vertical="center" shrinkToFit="1"/>
    </xf>
    <xf numFmtId="166" fontId="23" fillId="0" borderId="57" applyAlignment="1" pivotButton="0" quotePrefix="0" xfId="0">
      <alignment horizontal="center" vertical="center" shrinkToFit="1"/>
    </xf>
    <xf numFmtId="166" fontId="23" fillId="0" borderId="2" applyAlignment="1" pivotButton="0" quotePrefix="0" xfId="0">
      <alignment horizontal="center" vertical="center" shrinkToFit="1"/>
    </xf>
    <xf numFmtId="166" fontId="23" fillId="0" borderId="79" applyAlignment="1" pivotButton="0" quotePrefix="0" xfId="0">
      <alignment horizontal="center" vertical="center" shrinkToFit="1"/>
    </xf>
    <xf numFmtId="0" fontId="13" fillId="4" borderId="0" applyAlignment="1" pivotButton="0" quotePrefix="0" xfId="0">
      <alignment horizontal="center" vertical="center"/>
    </xf>
    <xf numFmtId="0" fontId="10" fillId="0" borderId="7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5" borderId="11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0" borderId="74" applyAlignment="1" pivotButton="0" quotePrefix="0" xfId="0">
      <alignment horizontal="center" vertical="center" wrapText="1"/>
    </xf>
    <xf numFmtId="0" fontId="17" fillId="0" borderId="81" applyAlignment="1" pivotButton="0" quotePrefix="0" xfId="0">
      <alignment horizontal="center" vertical="center" wrapText="1"/>
    </xf>
    <xf numFmtId="0" fontId="17" fillId="0" borderId="70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 shrinkToFit="1"/>
    </xf>
    <xf numFmtId="0" fontId="17" fillId="0" borderId="9" applyAlignment="1" pivotButton="0" quotePrefix="0" xfId="0">
      <alignment horizontal="center" vertical="center" wrapText="1" shrinkToFit="1"/>
    </xf>
    <xf numFmtId="0" fontId="17" fillId="0" borderId="13" applyAlignment="1" pivotButton="0" quotePrefix="0" xfId="0">
      <alignment horizontal="center" vertical="center" wrapText="1" shrinkToFit="1"/>
    </xf>
    <xf numFmtId="166" fontId="23" fillId="11" borderId="76" applyAlignment="1" pivotButton="0" quotePrefix="0" xfId="0">
      <alignment horizontal="center" vertical="center" shrinkToFit="1"/>
    </xf>
    <xf numFmtId="166" fontId="23" fillId="11" borderId="33" applyAlignment="1" pivotButton="0" quotePrefix="0" xfId="0">
      <alignment horizontal="center" vertical="center" shrinkToFit="1"/>
    </xf>
    <xf numFmtId="166" fontId="23" fillId="11" borderId="73" applyAlignment="1" pivotButton="0" quotePrefix="0" xfId="0">
      <alignment horizontal="center" vertical="center" shrinkToFit="1"/>
    </xf>
    <xf numFmtId="9" fontId="23" fillId="0" borderId="57" applyAlignment="1" pivotButton="0" quotePrefix="0" xfId="4">
      <alignment horizontal="center" vertical="center" shrinkToFit="1"/>
    </xf>
    <xf numFmtId="9" fontId="23" fillId="0" borderId="2" applyAlignment="1" pivotButton="0" quotePrefix="0" xfId="4">
      <alignment horizontal="center" vertical="center" shrinkToFit="1"/>
    </xf>
    <xf numFmtId="9" fontId="23" fillId="0" borderId="79" applyAlignment="1" pivotButton="0" quotePrefix="0" xfId="4">
      <alignment horizontal="center" vertical="center" shrinkToFit="1"/>
    </xf>
    <xf numFmtId="9" fontId="23" fillId="0" borderId="59" applyAlignment="1" pivotButton="0" quotePrefix="0" xfId="4">
      <alignment horizontal="center" vertical="center" shrinkToFit="1"/>
    </xf>
    <xf numFmtId="9" fontId="23" fillId="0" borderId="21" applyAlignment="1" pivotButton="0" quotePrefix="0" xfId="4">
      <alignment horizontal="center" vertical="center" shrinkToFit="1"/>
    </xf>
    <xf numFmtId="9" fontId="23" fillId="0" borderId="71" applyAlignment="1" pivotButton="0" quotePrefix="0" xfId="4">
      <alignment horizontal="center" vertical="center" shrinkToFit="1"/>
    </xf>
    <xf numFmtId="166" fontId="23" fillId="8" borderId="56" applyAlignment="1" pivotButton="0" quotePrefix="0" xfId="0">
      <alignment horizontal="center" vertical="center" shrinkToFit="1"/>
    </xf>
    <xf numFmtId="166" fontId="23" fillId="8" borderId="1" applyAlignment="1" pivotButton="0" quotePrefix="0" xfId="0">
      <alignment horizontal="center" vertical="center" shrinkToFit="1"/>
    </xf>
    <xf numFmtId="166" fontId="23" fillId="8" borderId="66" applyAlignment="1" pivotButton="0" quotePrefix="0" xfId="0">
      <alignment horizontal="center" vertical="center" shrinkToFit="1"/>
    </xf>
    <xf numFmtId="166" fontId="23" fillId="11" borderId="59" applyAlignment="1" pivotButton="0" quotePrefix="0" xfId="0">
      <alignment horizontal="center" vertical="center" shrinkToFit="1"/>
    </xf>
    <xf numFmtId="166" fontId="23" fillId="11" borderId="21" applyAlignment="1" pivotButton="0" quotePrefix="0" xfId="0">
      <alignment horizontal="center" vertical="center" shrinkToFit="1"/>
    </xf>
    <xf numFmtId="166" fontId="23" fillId="11" borderId="71" applyAlignment="1" pivotButton="0" quotePrefix="0" xfId="0">
      <alignment horizontal="center" vertical="center" shrinkToFit="1"/>
    </xf>
    <xf numFmtId="166" fontId="23" fillId="8" borderId="57" applyAlignment="1" pivotButton="0" quotePrefix="0" xfId="0">
      <alignment horizontal="center" vertical="center" shrinkToFit="1"/>
    </xf>
    <xf numFmtId="166" fontId="23" fillId="8" borderId="2" applyAlignment="1" pivotButton="0" quotePrefix="0" xfId="0">
      <alignment horizontal="center" vertical="center" shrinkToFit="1"/>
    </xf>
    <xf numFmtId="166" fontId="23" fillId="8" borderId="79" applyAlignment="1" pivotButton="0" quotePrefix="0" xfId="0">
      <alignment horizontal="center" vertical="center" shrinkToFit="1"/>
    </xf>
    <xf numFmtId="166" fontId="23" fillId="0" borderId="56" applyAlignment="1" pivotButton="0" quotePrefix="0" xfId="0">
      <alignment horizontal="center" vertical="center" shrinkToFit="1"/>
    </xf>
    <xf numFmtId="166" fontId="23" fillId="0" borderId="1" applyAlignment="1" pivotButton="0" quotePrefix="0" xfId="0">
      <alignment horizontal="center" vertical="center" shrinkToFit="1"/>
    </xf>
    <xf numFmtId="166" fontId="23" fillId="0" borderId="66" applyAlignment="1" pivotButton="0" quotePrefix="0" xfId="0">
      <alignment horizontal="center" vertical="center" shrinkToFit="1"/>
    </xf>
    <xf numFmtId="166" fontId="19" fillId="8" borderId="56" applyAlignment="1" pivotButton="0" quotePrefix="0" xfId="0">
      <alignment horizontal="center" vertical="center" shrinkToFit="1"/>
    </xf>
    <xf numFmtId="166" fontId="19" fillId="8" borderId="1" applyAlignment="1" pivotButton="0" quotePrefix="0" xfId="0">
      <alignment horizontal="center" vertical="center" shrinkToFit="1"/>
    </xf>
    <xf numFmtId="166" fontId="19" fillId="8" borderId="66" applyAlignment="1" pivotButton="0" quotePrefix="0" xfId="0">
      <alignment horizontal="center" vertical="center" shrinkToFit="1"/>
    </xf>
    <xf numFmtId="0" fontId="17" fillId="4" borderId="53" applyAlignment="1" pivotButton="0" quotePrefix="0" xfId="0">
      <alignment horizontal="center" vertical="center" shrinkToFit="1"/>
    </xf>
    <xf numFmtId="0" fontId="17" fillId="4" borderId="31" applyAlignment="1" pivotButton="0" quotePrefix="0" xfId="0">
      <alignment horizontal="center" vertical="center" shrinkToFit="1"/>
    </xf>
    <xf numFmtId="0" fontId="17" fillId="4" borderId="49" applyAlignment="1" pivotButton="0" quotePrefix="0" xfId="0">
      <alignment horizontal="center" vertical="center" shrinkToFit="1"/>
    </xf>
    <xf numFmtId="0" fontId="17" fillId="4" borderId="17" applyAlignment="1" pivotButton="0" quotePrefix="0" xfId="0">
      <alignment horizontal="center" vertical="center" shrinkToFit="1"/>
    </xf>
    <xf numFmtId="0" fontId="17" fillId="4" borderId="0" applyAlignment="1" pivotButton="0" quotePrefix="0" xfId="0">
      <alignment horizontal="center" vertical="center" shrinkToFit="1"/>
    </xf>
    <xf numFmtId="0" fontId="17" fillId="4" borderId="41" applyAlignment="1" pivotButton="0" quotePrefix="0" xfId="0">
      <alignment horizontal="center" vertical="center" shrinkToFit="1"/>
    </xf>
    <xf numFmtId="0" fontId="17" fillId="4" borderId="18" applyAlignment="1" pivotButton="0" quotePrefix="0" xfId="0">
      <alignment horizontal="center" vertical="center" shrinkToFit="1"/>
    </xf>
    <xf numFmtId="0" fontId="17" fillId="4" borderId="19" applyAlignment="1" pivotButton="0" quotePrefix="0" xfId="0">
      <alignment horizontal="center" vertical="center" shrinkToFit="1"/>
    </xf>
    <xf numFmtId="0" fontId="17" fillId="4" borderId="30" applyAlignment="1" pivotButton="0" quotePrefix="0" xfId="0">
      <alignment horizontal="center" vertical="center" shrinkToFit="1"/>
    </xf>
    <xf numFmtId="0" fontId="17" fillId="6" borderId="16" applyAlignment="1" pivotButton="0" quotePrefix="0" xfId="0">
      <alignment horizontal="center" vertical="center" wrapText="1"/>
    </xf>
    <xf numFmtId="0" fontId="17" fillId="6" borderId="15" applyAlignment="1" pivotButton="0" quotePrefix="0" xfId="0">
      <alignment horizontal="center" vertical="center" wrapText="1"/>
    </xf>
    <xf numFmtId="0" fontId="17" fillId="6" borderId="11" applyAlignment="1" pivotButton="0" quotePrefix="0" xfId="0">
      <alignment horizontal="center" vertical="center" wrapText="1"/>
    </xf>
    <xf numFmtId="0" fontId="17" fillId="6" borderId="13" applyAlignment="1" pivotButton="0" quotePrefix="0" xfId="0">
      <alignment horizontal="center" vertical="center" wrapText="1"/>
    </xf>
    <xf numFmtId="0" fontId="17" fillId="5" borderId="23" applyAlignment="1" pivotButton="0" quotePrefix="0" xfId="2">
      <alignment horizontal="center" vertical="center" wrapText="1"/>
    </xf>
    <xf numFmtId="0" fontId="17" fillId="5" borderId="8" applyAlignment="1" pivotButton="0" quotePrefix="0" xfId="2">
      <alignment horizontal="center" vertical="center" wrapText="1"/>
    </xf>
    <xf numFmtId="0" fontId="17" fillId="5" borderId="6" applyAlignment="1" pivotButton="0" quotePrefix="0" xfId="2">
      <alignment horizontal="center" vertical="center" wrapText="1"/>
    </xf>
    <xf numFmtId="0" fontId="17" fillId="6" borderId="49" applyAlignment="1" pivotButton="0" quotePrefix="0" xfId="2">
      <alignment horizontal="center" vertical="center" wrapText="1"/>
    </xf>
    <xf numFmtId="0" fontId="17" fillId="6" borderId="41" applyAlignment="1" pivotButton="0" quotePrefix="0" xfId="2">
      <alignment horizontal="center" vertical="center" wrapText="1"/>
    </xf>
    <xf numFmtId="0" fontId="17" fillId="6" borderId="30" applyAlignment="1" pivotButton="0" quotePrefix="0" xfId="2">
      <alignment horizontal="center" vertical="center" wrapText="1"/>
    </xf>
    <xf numFmtId="0" fontId="17" fillId="5" borderId="69" applyAlignment="1" pivotButton="0" quotePrefix="0" xfId="0">
      <alignment horizontal="center" vertical="center" wrapText="1"/>
    </xf>
    <xf numFmtId="0" fontId="17" fillId="5" borderId="70" applyAlignment="1" pivotButton="0" quotePrefix="0" xfId="0">
      <alignment horizontal="center" vertical="center" wrapText="1"/>
    </xf>
    <xf numFmtId="0" fontId="19" fillId="11" borderId="29" applyAlignment="1" pivotButton="0" quotePrefix="0" xfId="3">
      <alignment horizontal="center" vertical="center" wrapText="1"/>
    </xf>
    <xf numFmtId="0" fontId="19" fillId="11" borderId="50" applyAlignment="1" pivotButton="0" quotePrefix="0" xfId="3">
      <alignment horizontal="center" vertical="center" wrapText="1"/>
    </xf>
    <xf numFmtId="0" fontId="19" fillId="11" borderId="19" applyAlignment="1" pivotButton="0" quotePrefix="0" xfId="3">
      <alignment horizontal="center" vertical="center" wrapText="1"/>
    </xf>
    <xf numFmtId="0" fontId="19" fillId="11" borderId="30" applyAlignment="1" pivotButton="0" quotePrefix="0" xfId="3">
      <alignment horizontal="center" vertical="center" wrapText="1"/>
    </xf>
    <xf numFmtId="0" fontId="19" fillId="11" borderId="27" applyAlignment="1" pivotButton="0" quotePrefix="0" xfId="0">
      <alignment horizontal="center" vertical="center"/>
    </xf>
    <xf numFmtId="0" fontId="19" fillId="11" borderId="48" applyAlignment="1" pivotButton="0" quotePrefix="0" xfId="0">
      <alignment horizontal="center" vertical="center"/>
    </xf>
    <xf numFmtId="166" fontId="19" fillId="8" borderId="57" applyAlignment="1" pivotButton="0" quotePrefix="0" xfId="0">
      <alignment horizontal="center" vertical="center" shrinkToFit="1"/>
    </xf>
    <xf numFmtId="166" fontId="19" fillId="8" borderId="2" applyAlignment="1" pivotButton="0" quotePrefix="0" xfId="0">
      <alignment horizontal="center" vertical="center" shrinkToFit="1"/>
    </xf>
    <xf numFmtId="166" fontId="19" fillId="8" borderId="79" applyAlignment="1" pivotButton="0" quotePrefix="0" xfId="0">
      <alignment horizontal="center" vertical="center" shrinkToFit="1"/>
    </xf>
    <xf numFmtId="166" fontId="19" fillId="0" borderId="57" applyAlignment="1" pivotButton="0" quotePrefix="0" xfId="0">
      <alignment horizontal="center" vertical="center" shrinkToFit="1"/>
    </xf>
    <xf numFmtId="166" fontId="19" fillId="0" borderId="2" applyAlignment="1" pivotButton="0" quotePrefix="0" xfId="0">
      <alignment horizontal="center" vertical="center" shrinkToFit="1"/>
    </xf>
    <xf numFmtId="166" fontId="19" fillId="0" borderId="79" applyAlignment="1" pivotButton="0" quotePrefix="0" xfId="0">
      <alignment horizontal="center" vertical="center" shrinkToFit="1"/>
    </xf>
    <xf numFmtId="166" fontId="19" fillId="0" borderId="56" applyAlignment="1" pivotButton="0" quotePrefix="0" xfId="0">
      <alignment horizontal="center" vertical="center" shrinkToFit="1"/>
    </xf>
    <xf numFmtId="166" fontId="19" fillId="0" borderId="1" applyAlignment="1" pivotButton="0" quotePrefix="0" xfId="0">
      <alignment horizontal="center" vertical="center" shrinkToFit="1"/>
    </xf>
    <xf numFmtId="166" fontId="19" fillId="0" borderId="66" applyAlignment="1" pivotButton="0" quotePrefix="0" xfId="0">
      <alignment horizontal="center" vertical="center" shrinkToFit="1"/>
    </xf>
    <xf numFmtId="166" fontId="19" fillId="11" borderId="59" applyAlignment="1" pivotButton="0" quotePrefix="0" xfId="0">
      <alignment horizontal="center" vertical="center" shrinkToFit="1"/>
    </xf>
    <xf numFmtId="166" fontId="19" fillId="11" borderId="21" applyAlignment="1" pivotButton="0" quotePrefix="0" xfId="0">
      <alignment horizontal="center" vertical="center" shrinkToFit="1"/>
    </xf>
    <xf numFmtId="166" fontId="19" fillId="11" borderId="71" applyAlignment="1" pivotButton="0" quotePrefix="0" xfId="0">
      <alignment horizontal="center" vertical="center" shrinkToFit="1"/>
    </xf>
    <xf numFmtId="14" fontId="17" fillId="0" borderId="38" applyAlignment="1" pivotButton="0" quotePrefix="0" xfId="0">
      <alignment horizontal="center" vertical="center" wrapText="1"/>
    </xf>
    <xf numFmtId="14" fontId="17" fillId="0" borderId="63" applyAlignment="1" pivotButton="0" quotePrefix="0" xfId="0">
      <alignment horizontal="center" vertical="center" wrapText="1"/>
    </xf>
    <xf numFmtId="168" fontId="17" fillId="0" borderId="35" applyAlignment="1" pivotButton="0" quotePrefix="0" xfId="0">
      <alignment horizontal="center" vertical="center" wrapText="1"/>
    </xf>
    <xf numFmtId="168" fontId="17" fillId="0" borderId="62" applyAlignment="1" pivotButton="0" quotePrefix="0" xfId="0">
      <alignment horizontal="center" vertical="center" wrapText="1"/>
    </xf>
    <xf numFmtId="0" fontId="16" fillId="12" borderId="80" applyAlignment="1" pivotButton="0" quotePrefix="0" xfId="7">
      <alignment horizontal="center" vertical="center" wrapText="1"/>
    </xf>
    <xf numFmtId="166" fontId="23" fillId="11" borderId="59" applyAlignment="1" pivotButton="0" quotePrefix="0" xfId="0">
      <alignment horizontal="center" vertical="center" wrapText="1"/>
    </xf>
    <xf numFmtId="166" fontId="23" fillId="11" borderId="21" applyAlignment="1" pivotButton="0" quotePrefix="0" xfId="0">
      <alignment horizontal="center" vertical="center" wrapText="1"/>
    </xf>
    <xf numFmtId="166" fontId="23" fillId="11" borderId="71" applyAlignment="1" pivotButton="0" quotePrefix="0" xfId="0">
      <alignment horizontal="center" vertical="center" wrapText="1"/>
    </xf>
    <xf numFmtId="166" fontId="23" fillId="8" borderId="56" applyAlignment="1" pivotButton="0" quotePrefix="0" xfId="0">
      <alignment horizontal="center" vertical="center" wrapText="1"/>
    </xf>
    <xf numFmtId="166" fontId="23" fillId="8" borderId="1" applyAlignment="1" pivotButton="0" quotePrefix="0" xfId="0">
      <alignment horizontal="center" vertical="center" wrapText="1"/>
    </xf>
    <xf numFmtId="166" fontId="23" fillId="8" borderId="66" applyAlignment="1" pivotButton="0" quotePrefix="0" xfId="0">
      <alignment horizontal="center" vertical="center" wrapText="1"/>
    </xf>
    <xf numFmtId="166" fontId="17" fillId="0" borderId="60" applyAlignment="1" pivotButton="0" quotePrefix="0" xfId="0">
      <alignment horizontal="center" vertical="center" wrapText="1"/>
    </xf>
    <xf numFmtId="166" fontId="17" fillId="0" borderId="61" applyAlignment="1" pivotButton="0" quotePrefix="0" xfId="0">
      <alignment horizontal="center" vertical="center" wrapText="1"/>
    </xf>
    <xf numFmtId="166" fontId="23" fillId="8" borderId="57" applyAlignment="1" pivotButton="0" quotePrefix="0" xfId="0">
      <alignment horizontal="center" vertical="center" wrapText="1"/>
    </xf>
    <xf numFmtId="166" fontId="23" fillId="8" borderId="2" applyAlignment="1" pivotButton="0" quotePrefix="0" xfId="0">
      <alignment horizontal="center" vertical="center" wrapText="1"/>
    </xf>
    <xf numFmtId="166" fontId="23" fillId="8" borderId="79" applyAlignment="1" pivotButton="0" quotePrefix="0" xfId="0">
      <alignment horizontal="center" vertical="center" wrapText="1"/>
    </xf>
    <xf numFmtId="166" fontId="23" fillId="0" borderId="78" applyAlignment="1" pivotButton="0" quotePrefix="0" xfId="0">
      <alignment horizontal="center" vertical="center" wrapText="1"/>
    </xf>
    <xf numFmtId="166" fontId="23" fillId="0" borderId="67" applyAlignment="1" pivotButton="0" quotePrefix="0" xfId="0">
      <alignment horizontal="center" vertical="center" wrapText="1"/>
    </xf>
    <xf numFmtId="166" fontId="23" fillId="0" borderId="68" applyAlignment="1" pivotButton="0" quotePrefix="0" xfId="0">
      <alignment horizontal="center" vertical="center" wrapText="1"/>
    </xf>
    <xf numFmtId="166" fontId="23" fillId="8" borderId="77" applyAlignment="1" pivotButton="0" quotePrefix="0" xfId="0">
      <alignment horizontal="center" vertical="center" wrapText="1"/>
    </xf>
    <xf numFmtId="166" fontId="23" fillId="8" borderId="26" applyAlignment="1" pivotButton="0" quotePrefix="0" xfId="0">
      <alignment horizontal="center" vertical="center" wrapText="1"/>
    </xf>
    <xf numFmtId="166" fontId="23" fillId="8" borderId="51" applyAlignment="1" pivotButton="0" quotePrefix="0" xfId="0">
      <alignment horizontal="center" vertical="center" wrapText="1"/>
    </xf>
    <xf numFmtId="166" fontId="17" fillId="8" borderId="46" applyAlignment="1" pivotButton="0" quotePrefix="0" xfId="0">
      <alignment horizontal="center" vertical="center" wrapText="1"/>
    </xf>
    <xf numFmtId="166" fontId="17" fillId="8" borderId="65" applyAlignment="1" pivotButton="0" quotePrefix="0" xfId="0">
      <alignment horizontal="center" vertical="center" wrapText="1"/>
    </xf>
    <xf numFmtId="166" fontId="17" fillId="0" borderId="28" applyAlignment="1" pivotButton="0" quotePrefix="0" xfId="0">
      <alignment horizontal="center" vertical="center" wrapText="1"/>
    </xf>
    <xf numFmtId="166" fontId="17" fillId="0" borderId="64" applyAlignment="1" pivotButton="0" quotePrefix="0" xfId="0">
      <alignment horizontal="center" vertical="center" wrapText="1"/>
    </xf>
    <xf numFmtId="171" fontId="20" fillId="0" borderId="26" applyAlignment="1" pivotButton="0" quotePrefix="0" xfId="0">
      <alignment horizontal="center" vertical="center" wrapText="1"/>
    </xf>
    <xf numFmtId="171" fontId="20" fillId="0" borderId="5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5" borderId="98" applyAlignment="1" pivotButton="0" quotePrefix="0" xfId="2">
      <alignment horizontal="center" vertical="center" wrapText="1"/>
    </xf>
    <xf numFmtId="0" fontId="0" fillId="0" borderId="27" pivotButton="0" quotePrefix="0" xfId="0"/>
    <xf numFmtId="0" fontId="0" fillId="0" borderId="48" pivotButton="0" quotePrefix="0" xfId="0"/>
    <xf numFmtId="0" fontId="17" fillId="6" borderId="68" applyAlignment="1" pivotButton="0" quotePrefix="0" xfId="2">
      <alignment horizontal="center" vertical="center" wrapText="1"/>
    </xf>
    <xf numFmtId="0" fontId="10" fillId="5" borderId="77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5" borderId="79" applyAlignment="1" pivotButton="0" quotePrefix="0" xfId="0">
      <alignment horizontal="center" vertical="center" wrapText="1"/>
    </xf>
    <xf numFmtId="0" fontId="0" fillId="0" borderId="8" pivotButton="0" quotePrefix="0" xfId="0"/>
    <xf numFmtId="0" fontId="19" fillId="11" borderId="51" applyAlignment="1" pivotButton="0" quotePrefix="0" xfId="3">
      <alignment horizontal="center" vertical="center" wrapText="1"/>
    </xf>
    <xf numFmtId="0" fontId="0" fillId="0" borderId="29" pivotButton="0" quotePrefix="0" xfId="0"/>
    <xf numFmtId="0" fontId="0" fillId="0" borderId="50" pivotButton="0" quotePrefix="0" xfId="0"/>
    <xf numFmtId="0" fontId="0" fillId="0" borderId="41" pivotButton="0" quotePrefix="0" xfId="0"/>
    <xf numFmtId="0" fontId="17" fillId="6" borderId="97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19" pivotButton="0" quotePrefix="0" xfId="0"/>
    <xf numFmtId="0" fontId="0" fillId="0" borderId="30" pivotButton="0" quotePrefix="0" xfId="0"/>
    <xf numFmtId="0" fontId="0" fillId="0" borderId="15" pivotButton="0" quotePrefix="0" xfId="0"/>
    <xf numFmtId="0" fontId="0" fillId="0" borderId="38" pivotButton="0" quotePrefix="0" xfId="0"/>
    <xf numFmtId="0" fontId="0" fillId="0" borderId="63" pivotButton="0" quotePrefix="0" xfId="0"/>
    <xf numFmtId="168" fontId="10" fillId="0" borderId="0" applyAlignment="1" pivotButton="0" quotePrefix="0" xfId="0">
      <alignment vertical="center"/>
    </xf>
    <xf numFmtId="168" fontId="10" fillId="0" borderId="88" applyAlignment="1" pivotButton="0" quotePrefix="0" xfId="0">
      <alignment horizontal="center" vertical="center"/>
    </xf>
    <xf numFmtId="168" fontId="17" fillId="0" borderId="34" applyAlignment="1" pivotButton="0" quotePrefix="0" xfId="0">
      <alignment horizontal="center" vertical="center"/>
    </xf>
    <xf numFmtId="168" fontId="17" fillId="0" borderId="35" applyAlignment="1" pivotButton="0" quotePrefix="0" xfId="0">
      <alignment horizontal="center" vertical="center"/>
    </xf>
    <xf numFmtId="168" fontId="17" fillId="0" borderId="37" applyAlignment="1" pivotButton="0" quotePrefix="0" xfId="0">
      <alignment horizontal="center" vertical="center"/>
    </xf>
    <xf numFmtId="168" fontId="21" fillId="5" borderId="40" applyAlignment="1" pivotButton="0" quotePrefix="0" xfId="0">
      <alignment horizontal="center" vertical="center" wrapText="1"/>
    </xf>
    <xf numFmtId="168" fontId="17" fillId="0" borderId="6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62" pivotButton="0" quotePrefix="0" xfId="0"/>
    <xf numFmtId="168" fontId="21" fillId="6" borderId="62" applyAlignment="1" pivotButton="0" quotePrefix="0" xfId="0">
      <alignment horizontal="center" vertical="center" wrapText="1"/>
    </xf>
    <xf numFmtId="169" fontId="10" fillId="0" borderId="88" applyAlignment="1" pivotButton="0" quotePrefix="0" xfId="0">
      <alignment horizontal="center" vertical="center"/>
    </xf>
    <xf numFmtId="169" fontId="17" fillId="0" borderId="34" applyAlignment="1" pivotButton="0" quotePrefix="0" xfId="0">
      <alignment horizontal="center" vertical="center"/>
    </xf>
    <xf numFmtId="169" fontId="17" fillId="0" borderId="35" applyAlignment="1" pivotButton="0" quotePrefix="0" xfId="0">
      <alignment horizontal="center" vertical="center"/>
    </xf>
    <xf numFmtId="169" fontId="17" fillId="0" borderId="37" applyAlignment="1" pivotButton="0" quotePrefix="0" xfId="0">
      <alignment horizontal="center" vertical="center"/>
    </xf>
    <xf numFmtId="166" fontId="10" fillId="0" borderId="0" applyAlignment="1" pivotButton="0" quotePrefix="0" xfId="0">
      <alignment vertical="center"/>
    </xf>
    <xf numFmtId="170" fontId="10" fillId="8" borderId="76" applyAlignment="1" pivotButton="0" quotePrefix="0" xfId="0">
      <alignment horizontal="center" vertical="center"/>
    </xf>
    <xf numFmtId="170" fontId="17" fillId="8" borderId="43" applyAlignment="1" pivotButton="0" quotePrefix="0" xfId="0">
      <alignment horizontal="center" vertical="center"/>
    </xf>
    <xf numFmtId="170" fontId="17" fillId="8" borderId="33" applyAlignment="1" pivotButton="0" quotePrefix="0" xfId="0">
      <alignment horizontal="center" vertical="center"/>
    </xf>
    <xf numFmtId="170" fontId="17" fillId="8" borderId="44" applyAlignment="1" pivotButton="0" quotePrefix="0" xfId="0">
      <alignment horizontal="center" vertical="center"/>
    </xf>
    <xf numFmtId="170" fontId="17" fillId="8" borderId="74" applyAlignment="1" pivotButton="0" quotePrefix="0" xfId="0">
      <alignment horizontal="center" vertical="center"/>
    </xf>
    <xf numFmtId="170" fontId="22" fillId="9" borderId="24" applyAlignment="1" pivotButton="0" quotePrefix="0" xfId="0">
      <alignment horizontal="center" vertical="center" wrapText="1"/>
    </xf>
    <xf numFmtId="166" fontId="23" fillId="11" borderId="24" applyAlignment="1" pivotButton="0" quotePrefix="0" xfId="0">
      <alignment horizontal="center" vertical="center" shrinkToFit="1"/>
    </xf>
    <xf numFmtId="0" fontId="0" fillId="0" borderId="33" pivotButton="0" quotePrefix="0" xfId="0"/>
    <xf numFmtId="0" fontId="0" fillId="0" borderId="73" pivotButton="0" quotePrefix="0" xfId="0"/>
    <xf numFmtId="170" fontId="22" fillId="10" borderId="73" applyAlignment="1" pivotButton="0" quotePrefix="0" xfId="0">
      <alignment horizontal="center" vertical="center" wrapText="1"/>
    </xf>
    <xf numFmtId="170" fontId="19" fillId="8" borderId="44" applyAlignment="1" pivotButton="0" quotePrefix="0" xfId="0">
      <alignment horizontal="center" vertical="center"/>
    </xf>
    <xf numFmtId="170" fontId="19" fillId="8" borderId="43" applyAlignment="1" pivotButton="0" quotePrefix="0" xfId="0">
      <alignment horizontal="center" vertical="center"/>
    </xf>
    <xf numFmtId="170" fontId="10" fillId="8" borderId="89" applyAlignment="1" pivotButton="0" quotePrefix="0" xfId="0">
      <alignment horizontal="center" vertical="center"/>
    </xf>
    <xf numFmtId="170" fontId="17" fillId="8" borderId="1" applyAlignment="1" pivotButton="0" quotePrefix="0" xfId="0">
      <alignment horizontal="center" vertical="center"/>
    </xf>
    <xf numFmtId="170" fontId="17" fillId="8" borderId="66" applyAlignment="1" pivotButton="0" quotePrefix="0" xfId="0">
      <alignment horizontal="center" vertical="center"/>
    </xf>
    <xf numFmtId="170" fontId="23" fillId="5" borderId="10" applyAlignment="1" pivotButton="0" quotePrefix="0" xfId="0">
      <alignment horizontal="center" vertical="center" wrapText="1"/>
    </xf>
    <xf numFmtId="166" fontId="23" fillId="8" borderId="56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170" fontId="23" fillId="6" borderId="82" applyAlignment="1" pivotButton="0" quotePrefix="0" xfId="0">
      <alignment horizontal="center" vertical="center" wrapText="1"/>
    </xf>
    <xf numFmtId="170" fontId="19" fillId="8" borderId="1" applyAlignment="1" pivotButton="0" quotePrefix="0" xfId="0">
      <alignment horizontal="center" vertical="center"/>
    </xf>
    <xf numFmtId="170" fontId="9" fillId="8" borderId="89" applyAlignment="1" pivotButton="0" quotePrefix="0" xfId="0">
      <alignment horizontal="center" vertical="center"/>
    </xf>
    <xf numFmtId="170" fontId="9" fillId="8" borderId="77" applyAlignment="1" pivotButton="0" quotePrefix="0" xfId="0">
      <alignment horizontal="center" vertical="center"/>
    </xf>
    <xf numFmtId="170" fontId="17" fillId="8" borderId="2" applyAlignment="1" pivotButton="0" quotePrefix="0" xfId="0">
      <alignment horizontal="center" vertical="center"/>
    </xf>
    <xf numFmtId="170" fontId="17" fillId="8" borderId="79" applyAlignment="1" pivotButton="0" quotePrefix="0" xfId="0">
      <alignment horizontal="center" vertical="center"/>
    </xf>
    <xf numFmtId="170" fontId="23" fillId="5" borderId="5" applyAlignment="1" pivotButton="0" quotePrefix="0" xfId="0">
      <alignment horizontal="center" vertical="center" wrapText="1"/>
    </xf>
    <xf numFmtId="166" fontId="23" fillId="8" borderId="57" applyAlignment="1" pivotButton="0" quotePrefix="0" xfId="0">
      <alignment horizontal="center" vertical="center" shrinkToFit="1"/>
    </xf>
    <xf numFmtId="0" fontId="0" fillId="0" borderId="26" pivotButton="0" quotePrefix="0" xfId="0"/>
    <xf numFmtId="0" fontId="0" fillId="0" borderId="97" pivotButton="0" quotePrefix="0" xfId="0"/>
    <xf numFmtId="170" fontId="23" fillId="6" borderId="51" applyAlignment="1" pivotButton="0" quotePrefix="0" xfId="0">
      <alignment horizontal="center" vertical="center" wrapText="1"/>
    </xf>
    <xf numFmtId="170" fontId="19" fillId="8" borderId="2" applyAlignment="1" pivotButton="0" quotePrefix="0" xfId="0">
      <alignment horizontal="center" vertical="center"/>
    </xf>
    <xf numFmtId="170" fontId="9" fillId="0" borderId="90" applyAlignment="1" pivotButton="0" quotePrefix="0" xfId="0">
      <alignment horizontal="center" vertical="center"/>
    </xf>
    <xf numFmtId="170" fontId="17" fillId="0" borderId="21" applyAlignment="1" pivotButton="0" quotePrefix="0" xfId="0">
      <alignment horizontal="center" vertical="center"/>
    </xf>
    <xf numFmtId="170" fontId="17" fillId="0" borderId="71" applyAlignment="1" pivotButton="0" quotePrefix="0" xfId="0">
      <alignment horizontal="center" vertical="center"/>
    </xf>
    <xf numFmtId="170" fontId="23" fillId="5" borderId="20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0" borderId="94" pivotButton="0" quotePrefix="0" xfId="0"/>
    <xf numFmtId="170" fontId="23" fillId="6" borderId="83" applyAlignment="1" pivotButton="0" quotePrefix="0" xfId="0">
      <alignment horizontal="center" vertical="center" wrapText="1"/>
    </xf>
    <xf numFmtId="170" fontId="19" fillId="0" borderId="21" applyAlignment="1" pivotButton="0" quotePrefix="0" xfId="0">
      <alignment horizontal="center" vertical="center"/>
    </xf>
    <xf numFmtId="170" fontId="9" fillId="0" borderId="77" applyAlignment="1" pivotButton="0" quotePrefix="0" xfId="0">
      <alignment horizontal="center" vertical="center"/>
    </xf>
    <xf numFmtId="170" fontId="17" fillId="0" borderId="2" applyAlignment="1" pivotButton="0" quotePrefix="0" xfId="0">
      <alignment horizontal="center" vertical="center"/>
    </xf>
    <xf numFmtId="170" fontId="17" fillId="0" borderId="79" applyAlignment="1" pivotButton="0" quotePrefix="0" xfId="0">
      <alignment horizontal="center" vertical="center"/>
    </xf>
    <xf numFmtId="170" fontId="19" fillId="0" borderId="2" applyAlignment="1" pivotButton="0" quotePrefix="0" xfId="0">
      <alignment horizontal="center" vertical="center"/>
    </xf>
    <xf numFmtId="170" fontId="9" fillId="8" borderId="90" applyAlignment="1" pivotButton="0" quotePrefix="0" xfId="0">
      <alignment horizontal="center" vertical="center"/>
    </xf>
    <xf numFmtId="170" fontId="23" fillId="8" borderId="21" applyAlignment="1" pivotButton="0" quotePrefix="0" xfId="0">
      <alignment horizontal="center" vertical="center"/>
    </xf>
    <xf numFmtId="170" fontId="17" fillId="8" borderId="21" applyAlignment="1" pivotButton="0" quotePrefix="0" xfId="0">
      <alignment horizontal="center" vertical="center"/>
    </xf>
    <xf numFmtId="170" fontId="23" fillId="8" borderId="71" applyAlignment="1" pivotButton="0" quotePrefix="0" xfId="0">
      <alignment horizontal="center" vertical="center"/>
    </xf>
    <xf numFmtId="170" fontId="22" fillId="9" borderId="20" applyAlignment="1" pivotButton="0" quotePrefix="0" xfId="0">
      <alignment horizontal="center" vertical="center" wrapText="1"/>
    </xf>
    <xf numFmtId="166" fontId="23" fillId="11" borderId="59" applyAlignment="1" pivotButton="0" quotePrefix="0" xfId="0">
      <alignment horizontal="center" vertical="center" shrinkToFit="1"/>
    </xf>
    <xf numFmtId="170" fontId="22" fillId="10" borderId="83" applyAlignment="1" pivotButton="0" quotePrefix="0" xfId="0">
      <alignment horizontal="center" vertical="center" wrapText="1"/>
    </xf>
    <xf numFmtId="170" fontId="19" fillId="8" borderId="21" applyAlignment="1" pivotButton="0" quotePrefix="0" xfId="0">
      <alignment horizontal="center" vertical="center"/>
    </xf>
    <xf numFmtId="170" fontId="23" fillId="8" borderId="1" applyAlignment="1" pivotButton="0" quotePrefix="0" xfId="0">
      <alignment horizontal="center" vertical="center"/>
    </xf>
    <xf numFmtId="170" fontId="23" fillId="8" borderId="66" applyAlignment="1" pivotButton="0" quotePrefix="0" xfId="0">
      <alignment horizontal="center" vertical="center"/>
    </xf>
    <xf numFmtId="170" fontId="23" fillId="8" borderId="2" applyAlignment="1" pivotButton="0" quotePrefix="0" xfId="0">
      <alignment horizontal="center" vertical="center"/>
    </xf>
    <xf numFmtId="170" fontId="23" fillId="8" borderId="79" applyAlignment="1" pivotButton="0" quotePrefix="0" xfId="0">
      <alignment horizontal="center" vertical="center"/>
    </xf>
    <xf numFmtId="170" fontId="9" fillId="0" borderId="89" applyAlignment="1" pivotButton="0" quotePrefix="0" xfId="0">
      <alignment horizontal="center" vertical="center"/>
    </xf>
    <xf numFmtId="170" fontId="17" fillId="0" borderId="1" applyAlignment="1" pivotButton="0" quotePrefix="0" xfId="0">
      <alignment horizontal="center" vertical="center"/>
    </xf>
    <xf numFmtId="170" fontId="17" fillId="0" borderId="66" applyAlignment="1" pivotButton="0" quotePrefix="0" xfId="0">
      <alignment horizontal="center" vertical="center"/>
    </xf>
    <xf numFmtId="166" fontId="23" fillId="0" borderId="56" applyAlignment="1" pivotButton="0" quotePrefix="0" xfId="0">
      <alignment horizontal="center" vertical="center" shrinkToFit="1"/>
    </xf>
    <xf numFmtId="170" fontId="19" fillId="0" borderId="1" applyAlignment="1" pivotButton="0" quotePrefix="0" xfId="0">
      <alignment horizontal="center" vertical="center"/>
    </xf>
    <xf numFmtId="166" fontId="23" fillId="0" borderId="57" applyAlignment="1" pivotButton="0" quotePrefix="0" xfId="0">
      <alignment horizontal="center" vertical="center" shrinkToFit="1"/>
    </xf>
    <xf numFmtId="170" fontId="17" fillId="8" borderId="71" applyAlignment="1" pivotButton="0" quotePrefix="0" xfId="0">
      <alignment horizontal="center" vertical="center"/>
    </xf>
    <xf numFmtId="170" fontId="19" fillId="0" borderId="71" applyAlignment="1" pivotButton="0" quotePrefix="0" xfId="0">
      <alignment horizontal="center" vertical="center"/>
    </xf>
    <xf numFmtId="166" fontId="19" fillId="11" borderId="59" applyAlignment="1" pivotButton="0" quotePrefix="0" xfId="0">
      <alignment horizontal="center" vertical="center" shrinkToFit="1"/>
    </xf>
    <xf numFmtId="170" fontId="19" fillId="0" borderId="66" applyAlignment="1" pivotButton="0" quotePrefix="0" xfId="0">
      <alignment horizontal="center" vertical="center"/>
    </xf>
    <xf numFmtId="170" fontId="19" fillId="5" borderId="10" applyAlignment="1" pivotButton="0" quotePrefix="0" xfId="0">
      <alignment horizontal="center" vertical="center" wrapText="1"/>
    </xf>
    <xf numFmtId="166" fontId="19" fillId="0" borderId="56" applyAlignment="1" pivotButton="0" quotePrefix="0" xfId="0">
      <alignment horizontal="center" vertical="center" shrinkToFit="1"/>
    </xf>
    <xf numFmtId="170" fontId="19" fillId="6" borderId="82" applyAlignment="1" pivotButton="0" quotePrefix="0" xfId="0">
      <alignment horizontal="center" vertical="center" wrapText="1"/>
    </xf>
    <xf numFmtId="170" fontId="19" fillId="0" borderId="79" applyAlignment="1" pivotButton="0" quotePrefix="0" xfId="0">
      <alignment horizontal="center" vertical="center"/>
    </xf>
    <xf numFmtId="170" fontId="19" fillId="5" borderId="5" applyAlignment="1" pivotButton="0" quotePrefix="0" xfId="0">
      <alignment horizontal="center" vertical="center" wrapText="1"/>
    </xf>
    <xf numFmtId="166" fontId="19" fillId="0" borderId="57" applyAlignment="1" pivotButton="0" quotePrefix="0" xfId="0">
      <alignment horizontal="center" vertical="center" shrinkToFit="1"/>
    </xf>
    <xf numFmtId="170" fontId="19" fillId="6" borderId="51" applyAlignment="1" pivotButton="0" quotePrefix="0" xfId="0">
      <alignment horizontal="center" vertical="center" wrapText="1"/>
    </xf>
    <xf numFmtId="170" fontId="19" fillId="8" borderId="71" applyAlignment="1" pivotButton="0" quotePrefix="0" xfId="0">
      <alignment horizontal="center" vertical="center"/>
    </xf>
    <xf numFmtId="170" fontId="19" fillId="8" borderId="66" applyAlignment="1" pivotButton="0" quotePrefix="0" xfId="0">
      <alignment horizontal="center" vertical="center"/>
    </xf>
    <xf numFmtId="166" fontId="19" fillId="8" borderId="56" applyAlignment="1" pivotButton="0" quotePrefix="0" xfId="0">
      <alignment horizontal="center" vertical="center" shrinkToFit="1"/>
    </xf>
    <xf numFmtId="170" fontId="19" fillId="8" borderId="79" applyAlignment="1" pivotButton="0" quotePrefix="0" xfId="0">
      <alignment horizontal="center" vertical="center"/>
    </xf>
    <xf numFmtId="166" fontId="19" fillId="8" borderId="57" applyAlignment="1" pivotButton="0" quotePrefix="0" xfId="0">
      <alignment horizontal="center" vertical="center" shrinkToFit="1"/>
    </xf>
    <xf numFmtId="166" fontId="23" fillId="0" borderId="59" applyAlignment="1" pivotButton="0" quotePrefix="0" xfId="0">
      <alignment horizontal="center" vertical="center" shrinkToFit="1"/>
    </xf>
    <xf numFmtId="166" fontId="23" fillId="11" borderId="59" applyAlignment="1" pivotButton="0" quotePrefix="0" xfId="0">
      <alignment horizontal="center" vertical="center" wrapText="1"/>
    </xf>
    <xf numFmtId="166" fontId="23" fillId="8" borderId="56" applyAlignment="1" pivotButton="0" quotePrefix="0" xfId="0">
      <alignment horizontal="center" vertical="center" wrapText="1"/>
    </xf>
    <xf numFmtId="166" fontId="23" fillId="8" borderId="57" applyAlignment="1" pivotButton="0" quotePrefix="0" xfId="0">
      <alignment horizontal="center" vertical="center" wrapText="1"/>
    </xf>
    <xf numFmtId="166" fontId="23" fillId="8" borderId="1" applyAlignment="1" pivotButton="0" quotePrefix="0" xfId="0">
      <alignment horizontal="center" vertical="center" wrapText="1"/>
    </xf>
    <xf numFmtId="0" fontId="0" fillId="0" borderId="59" pivotButton="0" quotePrefix="0" xfId="0"/>
    <xf numFmtId="170" fontId="9" fillId="8" borderId="18" applyAlignment="1" pivotButton="0" quotePrefix="0" xfId="0">
      <alignment horizontal="center" vertical="center"/>
    </xf>
    <xf numFmtId="170" fontId="17" fillId="8" borderId="13" applyAlignment="1" pivotButton="0" quotePrefix="0" xfId="0">
      <alignment horizontal="center" vertical="center"/>
    </xf>
    <xf numFmtId="170" fontId="17" fillId="8" borderId="19" applyAlignment="1" pivotButton="0" quotePrefix="0" xfId="0">
      <alignment horizontal="center" vertical="center"/>
    </xf>
    <xf numFmtId="170" fontId="17" fillId="8" borderId="14" applyAlignment="1" pivotButton="0" quotePrefix="0" xfId="0">
      <alignment horizontal="center" vertical="center"/>
    </xf>
    <xf numFmtId="170" fontId="17" fillId="8" borderId="70" applyAlignment="1" pivotButton="0" quotePrefix="0" xfId="0">
      <alignment horizontal="center" vertical="center"/>
    </xf>
    <xf numFmtId="170" fontId="23" fillId="5" borderId="6" applyAlignment="1" pivotButton="0" quotePrefix="0" xfId="0">
      <alignment horizontal="center" vertical="center" wrapText="1"/>
    </xf>
    <xf numFmtId="166" fontId="23" fillId="8" borderId="5" applyAlignment="1" pivotButton="0" quotePrefix="0" xfId="0">
      <alignment horizontal="center" vertical="center" wrapText="1"/>
    </xf>
    <xf numFmtId="0" fontId="0" fillId="0" borderId="51" pivotButton="0" quotePrefix="0" xfId="0"/>
    <xf numFmtId="170" fontId="19" fillId="8" borderId="3" applyAlignment="1" pivotButton="0" quotePrefix="0" xfId="0">
      <alignment horizontal="center" vertical="center"/>
    </xf>
    <xf numFmtId="170" fontId="9" fillId="0" borderId="53" applyAlignment="1" pivotButton="0" quotePrefix="0" xfId="0">
      <alignment horizontal="center" vertical="center"/>
    </xf>
    <xf numFmtId="170" fontId="17" fillId="0" borderId="32" applyAlignment="1" pivotButton="0" quotePrefix="0" xfId="0">
      <alignment horizontal="center" vertical="center"/>
    </xf>
    <xf numFmtId="170" fontId="17" fillId="0" borderId="31" applyAlignment="1" pivotButton="0" quotePrefix="0" xfId="0">
      <alignment horizontal="center" vertical="center"/>
    </xf>
    <xf numFmtId="170" fontId="17" fillId="0" borderId="42" applyAlignment="1" pivotButton="0" quotePrefix="0" xfId="0">
      <alignment horizontal="center" vertical="center"/>
    </xf>
    <xf numFmtId="170" fontId="17" fillId="0" borderId="72" applyAlignment="1" pivotButton="0" quotePrefix="0" xfId="0">
      <alignment horizontal="center" vertical="center"/>
    </xf>
    <xf numFmtId="170" fontId="23" fillId="5" borderId="49" applyAlignment="1" pivotButton="0" quotePrefix="0" xfId="0">
      <alignment horizontal="center" vertical="center" wrapText="1"/>
    </xf>
    <xf numFmtId="166" fontId="23" fillId="0" borderId="98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8" pivotButton="0" quotePrefix="0" xfId="0"/>
    <xf numFmtId="170" fontId="23" fillId="6" borderId="68" applyAlignment="1" pivotButton="0" quotePrefix="0" xfId="0">
      <alignment horizontal="center" vertical="center" wrapText="1"/>
    </xf>
    <xf numFmtId="170" fontId="19" fillId="0" borderId="42" applyAlignment="1" pivotButton="0" quotePrefix="0" xfId="0">
      <alignment horizontal="center" vertical="center"/>
    </xf>
    <xf numFmtId="170" fontId="19" fillId="0" borderId="32" applyAlignment="1" pivotButton="0" quotePrefix="0" xfId="0">
      <alignment horizontal="center" vertical="center"/>
    </xf>
    <xf numFmtId="166" fontId="10" fillId="7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170" fontId="10" fillId="8" borderId="91" applyAlignment="1" pivotButton="0" quotePrefix="0" xfId="0">
      <alignment horizontal="center" vertical="center"/>
    </xf>
    <xf numFmtId="170" fontId="17" fillId="8" borderId="55" applyAlignment="1" pivotButton="0" quotePrefix="0" xfId="0">
      <alignment horizontal="center" vertical="center"/>
    </xf>
    <xf numFmtId="170" fontId="17" fillId="8" borderId="46" applyAlignment="1" pivotButton="0" quotePrefix="0" xfId="0">
      <alignment horizontal="center" vertical="center"/>
    </xf>
    <xf numFmtId="170" fontId="17" fillId="8" borderId="45" applyAlignment="1" pivotButton="0" quotePrefix="0" xfId="0">
      <alignment horizontal="center" vertical="center"/>
    </xf>
    <xf numFmtId="170" fontId="17" fillId="8" borderId="75" applyAlignment="1" pivotButton="0" quotePrefix="0" xfId="0">
      <alignment horizontal="center" vertical="center"/>
    </xf>
    <xf numFmtId="170" fontId="17" fillId="5" borderId="65" applyAlignment="1" pivotButton="0" quotePrefix="0" xfId="0">
      <alignment horizontal="center" vertical="center" wrapText="1"/>
    </xf>
    <xf numFmtId="166" fontId="17" fillId="8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5" pivotButton="0" quotePrefix="0" xfId="0"/>
    <xf numFmtId="170" fontId="17" fillId="6" borderId="65" applyAlignment="1" pivotButton="0" quotePrefix="0" xfId="0">
      <alignment horizontal="center" vertical="center" wrapText="1"/>
    </xf>
    <xf numFmtId="170" fontId="19" fillId="8" borderId="45" applyAlignment="1" pivotButton="0" quotePrefix="0" xfId="0">
      <alignment horizontal="center" vertical="center"/>
    </xf>
    <xf numFmtId="170" fontId="19" fillId="8" borderId="55" applyAlignment="1" pivotButton="0" quotePrefix="0" xfId="0">
      <alignment horizontal="center" vertical="center"/>
    </xf>
    <xf numFmtId="167" fontId="10" fillId="0" borderId="0" applyAlignment="1" pivotButton="0" quotePrefix="0" xfId="0">
      <alignment vertical="center"/>
    </xf>
    <xf numFmtId="167" fontId="14" fillId="0" borderId="76" applyAlignment="1" pivotButton="0" quotePrefix="0" xfId="1">
      <alignment horizontal="center" vertical="center"/>
    </xf>
    <xf numFmtId="167" fontId="18" fillId="0" borderId="43" applyAlignment="1" pivotButton="0" quotePrefix="0" xfId="1">
      <alignment horizontal="center" vertical="center"/>
    </xf>
    <xf numFmtId="167" fontId="18" fillId="0" borderId="33" applyAlignment="1" pivotButton="0" quotePrefix="0" xfId="1">
      <alignment horizontal="center" vertical="center"/>
    </xf>
    <xf numFmtId="167" fontId="18" fillId="0" borderId="44" applyAlignment="1" pivotButton="0" quotePrefix="0" xfId="1">
      <alignment horizontal="center" vertical="center"/>
    </xf>
    <xf numFmtId="167" fontId="18" fillId="5" borderId="24" applyAlignment="1" pivotButton="0" quotePrefix="0" xfId="1">
      <alignment horizontal="center" vertical="center" wrapText="1"/>
    </xf>
    <xf numFmtId="166" fontId="17" fillId="0" borderId="61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167" fontId="20" fillId="6" borderId="73" applyAlignment="1" pivotButton="0" quotePrefix="0" xfId="1">
      <alignment horizontal="center" vertical="center" wrapText="1"/>
    </xf>
    <xf numFmtId="167" fontId="20" fillId="0" borderId="44" applyAlignment="1" pivotButton="0" quotePrefix="0" xfId="1">
      <alignment horizontal="center" vertical="center"/>
    </xf>
    <xf numFmtId="167" fontId="20" fillId="0" borderId="43" applyAlignment="1" pivotButton="0" quotePrefix="0" xfId="1">
      <alignment horizontal="center" vertical="center"/>
    </xf>
    <xf numFmtId="0" fontId="10" fillId="0" borderId="104" applyAlignment="1" pivotButton="0" quotePrefix="0" xfId="0">
      <alignment horizontal="center" vertical="center" wrapText="1"/>
    </xf>
    <xf numFmtId="0" fontId="17" fillId="0" borderId="99" applyAlignment="1" pivotButton="0" quotePrefix="0" xfId="0">
      <alignment horizontal="center" vertical="center" wrapText="1"/>
    </xf>
    <xf numFmtId="0" fontId="17" fillId="0" borderId="105" applyAlignment="1" pivotButton="0" quotePrefix="0" xfId="0">
      <alignment horizontal="center" vertical="center" wrapText="1"/>
    </xf>
    <xf numFmtId="0" fontId="17" fillId="0" borderId="106" applyAlignment="1" pivotButton="0" quotePrefix="0" xfId="0">
      <alignment horizontal="center" vertical="center" wrapText="1"/>
    </xf>
    <xf numFmtId="166" fontId="17" fillId="5" borderId="47" applyAlignment="1" pivotButton="0" quotePrefix="0" xfId="0">
      <alignment horizontal="center" vertical="center" wrapText="1"/>
    </xf>
    <xf numFmtId="166" fontId="17" fillId="0" borderId="6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64" pivotButton="0" quotePrefix="0" xfId="0"/>
    <xf numFmtId="166" fontId="17" fillId="6" borderId="64" applyAlignment="1" pivotButton="0" quotePrefix="0" xfId="0">
      <alignment horizontal="center" vertical="center" wrapText="1"/>
    </xf>
    <xf numFmtId="0" fontId="17" fillId="0" borderId="99" applyAlignment="1" pivotButton="0" quotePrefix="0" xfId="0">
      <alignment horizontal="center" vertical="center" wrapText="1" shrinkToFit="1"/>
    </xf>
    <xf numFmtId="0" fontId="0" fillId="0" borderId="17" pivotButton="0" quotePrefix="0" xfId="0"/>
    <xf numFmtId="0" fontId="0" fillId="0" borderId="9" pivotButton="0" quotePrefix="0" xfId="0"/>
    <xf numFmtId="0" fontId="0" fillId="0" borderId="25" pivotButton="0" quotePrefix="0" xfId="0"/>
    <xf numFmtId="0" fontId="0" fillId="0" borderId="81" pivotButton="0" quotePrefix="0" xfId="0"/>
    <xf numFmtId="166" fontId="17" fillId="5" borderId="5" applyAlignment="1" pivotButton="0" quotePrefix="0" xfId="0">
      <alignment horizontal="center" vertical="center" wrapText="1"/>
    </xf>
    <xf numFmtId="171" fontId="20" fillId="0" borderId="51" applyAlignment="1" pivotButton="0" quotePrefix="0" xfId="0">
      <alignment horizontal="center" vertical="center" wrapText="1"/>
    </xf>
    <xf numFmtId="166" fontId="17" fillId="6" borderId="51" applyAlignment="1" pivotButton="0" quotePrefix="0" xfId="0">
      <alignment horizontal="center" vertical="center" wrapText="1"/>
    </xf>
    <xf numFmtId="166" fontId="17" fillId="5" borderId="4" applyAlignment="1" pivotButton="0" quotePrefix="0" xfId="0">
      <alignment horizontal="center" vertical="center" wrapText="1"/>
    </xf>
    <xf numFmtId="0" fontId="17" fillId="4" borderId="98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49" pivotButton="0" quotePrefix="0" xfId="0"/>
    <xf numFmtId="166" fontId="17" fillId="6" borderId="48" applyAlignment="1" pivotButton="0" quotePrefix="0" xfId="0">
      <alignment horizontal="center" vertical="center" wrapText="1"/>
    </xf>
    <xf numFmtId="166" fontId="17" fillId="5" borderId="6" applyAlignment="1" pivotButton="0" quotePrefix="0" xfId="0">
      <alignment horizontal="center" vertical="center" wrapText="1"/>
    </xf>
    <xf numFmtId="0" fontId="0" fillId="0" borderId="80" pivotButton="0" quotePrefix="0" xfId="0"/>
    <xf numFmtId="164" fontId="4" fillId="0" borderId="0" applyAlignment="1" pivotButton="0" quotePrefix="0" xfId="1">
      <alignment vertical="center"/>
    </xf>
    <xf numFmtId="165" fontId="11" fillId="0" borderId="0" applyAlignment="1" pivotButton="0" quotePrefix="0" xfId="0">
      <alignment vertical="center"/>
    </xf>
    <xf numFmtId="164" fontId="11" fillId="0" borderId="0" applyAlignment="1" pivotButton="0" quotePrefix="0" xfId="1">
      <alignment vertical="center"/>
    </xf>
    <xf numFmtId="164" fontId="11" fillId="0" borderId="0" applyAlignment="1" pivotButton="0" quotePrefix="0" xfId="0">
      <alignment vertical="center"/>
    </xf>
  </cellXfs>
  <cellStyles count="9">
    <cellStyle name="표준" xfId="0" builtinId="0"/>
    <cellStyle name="쉼표 [0]" xfId="1" builtinId="6"/>
    <cellStyle name="좋음" xfId="2"/>
    <cellStyle name="나쁨" xfId="3"/>
    <cellStyle name="백분율" xfId="4" builtinId="5"/>
    <cellStyle name="표준 2" xfId="5"/>
    <cellStyle name="스타일 1" xfId="6"/>
    <cellStyle name="표준 3" xfId="7"/>
    <cellStyle name="쉼표 [0] 2" xf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190500</colOff>
      <row>63</row>
      <rowOff>63500</rowOff>
    </from>
    <to>
      <col>9</col>
      <colOff>444499</colOff>
      <row>64</row>
      <rowOff>191254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950700" y="171831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127000</colOff>
      <row>1</row>
      <rowOff>127000</rowOff>
    </from>
    <to>
      <col>9</col>
      <colOff>380999</colOff>
      <row>3</row>
      <rowOff>140454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887200" y="2032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3">
    <tabColor rgb="FFFFC000"/>
    <outlinePr summaryBelow="1" summaryRight="1"/>
    <pageSetUpPr/>
  </sheetPr>
  <dimension ref="A1:O93"/>
  <sheetViews>
    <sheetView showGridLines="0" tabSelected="1" view="pageBreakPreview" zoomScale="73" zoomScaleNormal="73" zoomScaleSheetLayoutView="73" workbookViewId="0">
      <pane ySplit="7" topLeftCell="A49" activePane="bottomLeft" state="frozen"/>
      <selection activeCell="N18" sqref="N18"/>
      <selection pane="bottomLeft" activeCell="B1" sqref="B1:B1048576"/>
    </sheetView>
  </sheetViews>
  <sheetFormatPr baseColWidth="8" defaultColWidth="8.69921875" defaultRowHeight="15.6"/>
  <cols>
    <col width="1.59765625" customWidth="1" style="1" min="1" max="1"/>
    <col width="14.59765625" customWidth="1" style="1" min="2" max="2"/>
    <col width="20.69921875" customWidth="1" style="1" min="3" max="3"/>
    <col width="19.19921875" customWidth="1" style="1" min="4" max="4"/>
    <col width="17.5" customWidth="1" style="1" min="5" max="5"/>
    <col width="18.59765625" customWidth="1" style="1" min="6" max="6"/>
    <col width="18.19921875" customWidth="1" style="1" min="7" max="7"/>
    <col width="7.69921875" customWidth="1" style="1" min="8" max="10"/>
    <col width="18.09765625" customWidth="1" style="1" min="11" max="11"/>
    <col width="18.59765625" customWidth="1" style="1" min="12" max="12"/>
    <col width="22" customWidth="1" style="1" min="13" max="13"/>
    <col width="18.69921875" customWidth="1" style="1" min="14" max="14"/>
    <col width="21" customWidth="1" style="1" min="15" max="15"/>
    <col width="8.69921875" customWidth="1" style="1" min="16" max="16384"/>
  </cols>
  <sheetData>
    <row r="1" ht="6" customHeight="1" s="260"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30" customFormat="1" customHeight="1" s="11">
      <c r="B2" s="10" t="n"/>
      <c r="C2" s="154" t="inlineStr">
        <is>
          <t>세 님 보장 분석표(기존)</t>
        </is>
      </c>
      <c r="G2" s="10" t="n"/>
      <c r="L2" s="10" t="n"/>
      <c r="M2" s="10" t="inlineStr">
        <is>
          <t>세 님 보장 분석표 (리모델링)</t>
        </is>
      </c>
      <c r="N2" s="10" t="n"/>
      <c r="O2" s="10" t="n"/>
    </row>
    <row r="3" ht="6.75" customHeight="1" s="260">
      <c r="B3" s="7" t="n"/>
      <c r="C3" s="7" t="n"/>
      <c r="D3" s="7" t="n"/>
      <c r="E3" s="7" t="n"/>
      <c r="G3" s="7" t="n"/>
      <c r="H3" s="7" t="n"/>
      <c r="I3" s="7" t="n"/>
      <c r="J3" s="7" t="n"/>
      <c r="K3" s="7" t="n"/>
      <c r="M3" s="7" t="n"/>
      <c r="N3" s="7" t="n"/>
      <c r="O3" s="7" t="n"/>
    </row>
    <row r="4" ht="20.25" customHeight="1" s="260" thickBot="1">
      <c r="B4" s="8" t="n"/>
      <c r="C4" s="9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9" t="n"/>
      <c r="N4" s="8" t="n"/>
      <c r="O4" s="9" t="n"/>
    </row>
    <row r="5" ht="20.4" customHeight="1" s="260">
      <c r="B5" s="22" t="n"/>
      <c r="C5" s="40" t="n"/>
      <c r="D5" s="39" t="n"/>
      <c r="E5" s="40" t="n"/>
      <c r="F5" s="41" t="n"/>
      <c r="G5" s="261" t="inlineStr">
        <is>
          <t>리모델링 전</t>
        </is>
      </c>
      <c r="H5" s="219" t="inlineStr">
        <is>
          <t>보험사</t>
        </is>
      </c>
      <c r="I5" s="262" t="n"/>
      <c r="J5" s="263" t="n"/>
      <c r="K5" s="264" t="inlineStr">
        <is>
          <t>리모델링 후</t>
        </is>
      </c>
      <c r="L5" s="42" t="n"/>
      <c r="M5" s="43" t="n"/>
      <c r="N5" s="42" t="n"/>
      <c r="O5" s="42" t="n"/>
    </row>
    <row r="6" ht="16.95" customHeight="1" s="260">
      <c r="B6" s="265" t="n"/>
      <c r="C6" s="266" t="n"/>
      <c r="D6" s="266" t="n"/>
      <c r="E6" s="266" t="n"/>
      <c r="F6" s="267" t="n"/>
      <c r="G6" s="268" t="n"/>
      <c r="H6" s="269" t="inlineStr">
        <is>
          <t>상품명</t>
        </is>
      </c>
      <c r="I6" s="270" t="n"/>
      <c r="J6" s="271" t="n"/>
      <c r="K6" s="272" t="n"/>
      <c r="L6" s="273" t="n"/>
      <c r="M6" s="274" t="n"/>
      <c r="N6" s="274" t="n"/>
      <c r="O6" s="274" t="n"/>
    </row>
    <row r="7" ht="26.25" customHeight="1" s="260" thickBot="1">
      <c r="B7" s="275" t="n"/>
      <c r="C7" s="276" t="n"/>
      <c r="D7" s="276" t="n"/>
      <c r="E7" s="276" t="n"/>
      <c r="F7" s="277" t="n"/>
      <c r="G7" s="278" t="n"/>
      <c r="H7" s="279" t="n"/>
      <c r="I7" s="279" t="n"/>
      <c r="J7" s="280" t="n"/>
      <c r="K7" s="280" t="n"/>
      <c r="L7" s="281" t="n"/>
      <c r="M7" s="276" t="n"/>
      <c r="N7" s="276" t="n"/>
      <c r="O7" s="276" t="n"/>
    </row>
    <row r="8" ht="19.5" customFormat="1" customHeight="1" s="17">
      <c r="B8" s="23" t="n"/>
      <c r="C8" s="44" t="n"/>
      <c r="D8" s="45" t="n"/>
      <c r="E8" s="46" t="n"/>
      <c r="F8" s="46" t="n"/>
      <c r="G8" s="47" t="n"/>
      <c r="H8" s="233" t="inlineStr">
        <is>
          <t>가입일자</t>
        </is>
      </c>
      <c r="I8" s="282" t="n"/>
      <c r="J8" s="283" t="n"/>
      <c r="K8" s="48" t="n"/>
      <c r="L8" s="46" t="n"/>
      <c r="M8" s="44" t="n"/>
      <c r="N8" s="46" t="n"/>
      <c r="O8" s="46" t="n"/>
    </row>
    <row r="9" ht="19.5" customFormat="1" customHeight="1" s="284">
      <c r="B9" s="285" t="n"/>
      <c r="C9" s="286" t="n"/>
      <c r="D9" s="287" t="n"/>
      <c r="E9" s="288" t="n"/>
      <c r="F9" s="288" t="n"/>
      <c r="G9" s="289" t="n"/>
      <c r="H9" s="290" t="inlineStr">
        <is>
          <t>납입기간(년)</t>
        </is>
      </c>
      <c r="I9" s="291" t="n"/>
      <c r="J9" s="292" t="n"/>
      <c r="K9" s="293" t="n"/>
      <c r="L9" s="288" t="n"/>
      <c r="M9" s="286" t="n"/>
      <c r="N9" s="288" t="n"/>
      <c r="O9" s="288" t="n"/>
    </row>
    <row r="10" ht="19.5" customFormat="1" customHeight="1" s="284" thickBot="1">
      <c r="B10" s="294" t="n"/>
      <c r="C10" s="295" t="n"/>
      <c r="D10" s="296" t="n"/>
      <c r="E10" s="297" t="n"/>
      <c r="F10" s="297" t="n"/>
      <c r="G10" s="289" t="n"/>
      <c r="H10" s="290" t="inlineStr">
        <is>
          <t>만기</t>
        </is>
      </c>
      <c r="I10" s="291" t="n"/>
      <c r="J10" s="292" t="n"/>
      <c r="K10" s="293" t="n"/>
      <c r="L10" s="295" t="n"/>
      <c r="M10" s="295" t="n"/>
      <c r="N10" s="297" t="n"/>
      <c r="O10" s="297" t="n"/>
    </row>
    <row r="11" ht="21" customFormat="1" customHeight="1" s="298" thickTop="1">
      <c r="B11" s="299" t="n"/>
      <c r="C11" s="300" t="n"/>
      <c r="D11" s="301" t="n"/>
      <c r="E11" s="302" t="n"/>
      <c r="F11" s="303" t="n"/>
      <c r="G11" s="304">
        <f>SUM(B11:F11)</f>
        <v/>
      </c>
      <c r="H11" s="305" t="inlineStr">
        <is>
          <t>일반사망</t>
        </is>
      </c>
      <c r="I11" s="306" t="n"/>
      <c r="J11" s="307" t="n"/>
      <c r="K11" s="308">
        <f>SUM(L11:O11)</f>
        <v/>
      </c>
      <c r="L11" s="309" t="n"/>
      <c r="M11" s="310" t="n"/>
      <c r="N11" s="309" t="n"/>
      <c r="O11" s="309" t="n"/>
    </row>
    <row r="12" ht="21" customFormat="1" customHeight="1" s="298">
      <c r="B12" s="311" t="n"/>
      <c r="C12" s="312" t="n"/>
      <c r="D12" s="312" t="n"/>
      <c r="E12" s="312" t="n"/>
      <c r="F12" s="313" t="n"/>
      <c r="G12" s="314">
        <f>SUM(B12:F12)</f>
        <v/>
      </c>
      <c r="H12" s="315" t="inlineStr">
        <is>
          <t>재해사망</t>
        </is>
      </c>
      <c r="I12" s="316" t="n"/>
      <c r="J12" s="317" t="n"/>
      <c r="K12" s="318">
        <f>SUM(L12:O12)</f>
        <v/>
      </c>
      <c r="L12" s="319" t="n"/>
      <c r="M12" s="319" t="n"/>
      <c r="N12" s="319" t="n"/>
      <c r="O12" s="319" t="n"/>
    </row>
    <row r="13" ht="21" customFormat="1" customHeight="1" s="298">
      <c r="B13" s="320" t="n"/>
      <c r="C13" s="312" t="n"/>
      <c r="D13" s="312" t="n"/>
      <c r="E13" s="312" t="n"/>
      <c r="F13" s="313" t="n"/>
      <c r="G13" s="314">
        <f>SUM(B13:F13)</f>
        <v/>
      </c>
      <c r="H13" s="315" t="inlineStr">
        <is>
          <t>질병사망</t>
        </is>
      </c>
      <c r="I13" s="316" t="n"/>
      <c r="J13" s="317" t="n"/>
      <c r="K13" s="318">
        <f>SUM(L13:O13)</f>
        <v/>
      </c>
      <c r="L13" s="319" t="n"/>
      <c r="M13" s="319" t="n"/>
      <c r="N13" s="319" t="n"/>
      <c r="O13" s="319" t="n"/>
    </row>
    <row r="14" ht="21" customFormat="1" customHeight="1" s="298" thickBot="1">
      <c r="B14" s="321" t="n"/>
      <c r="C14" s="322" t="n"/>
      <c r="D14" s="322" t="n"/>
      <c r="E14" s="322" t="n"/>
      <c r="F14" s="323" t="n"/>
      <c r="G14" s="324">
        <f>SUM(B14:F14)</f>
        <v/>
      </c>
      <c r="H14" s="325" t="inlineStr">
        <is>
          <t>상해사망</t>
        </is>
      </c>
      <c r="I14" s="326" t="n"/>
      <c r="J14" s="327" t="n"/>
      <c r="K14" s="328">
        <f>SUM(L14:O14)</f>
        <v/>
      </c>
      <c r="L14" s="329" t="n"/>
      <c r="M14" s="329" t="n"/>
      <c r="N14" s="329" t="n"/>
      <c r="O14" s="329" t="n"/>
    </row>
    <row r="15" ht="21" customFormat="1" customHeight="1" s="298">
      <c r="B15" s="330" t="n"/>
      <c r="C15" s="331" t="n"/>
      <c r="D15" s="331" t="n"/>
      <c r="E15" s="331" t="n"/>
      <c r="F15" s="332" t="n"/>
      <c r="G15" s="333">
        <f>SUM(B15:F15)</f>
        <v/>
      </c>
      <c r="H15" s="175" t="inlineStr">
        <is>
          <t>상해 후유장해 3%</t>
        </is>
      </c>
      <c r="I15" s="334" t="n"/>
      <c r="J15" s="335" t="n"/>
      <c r="K15" s="336">
        <f>SUM(L15:O15)</f>
        <v/>
      </c>
      <c r="L15" s="337" t="n"/>
      <c r="M15" s="337" t="n"/>
      <c r="N15" s="337" t="n"/>
      <c r="O15" s="337" t="n"/>
    </row>
    <row r="16" ht="21" customFormat="1" customHeight="1" s="298" thickBot="1">
      <c r="B16" s="338" t="n"/>
      <c r="C16" s="339" t="n"/>
      <c r="D16" s="339" t="n"/>
      <c r="E16" s="339" t="n"/>
      <c r="F16" s="340" t="n"/>
      <c r="G16" s="324">
        <f>SUM(B16:F16)</f>
        <v/>
      </c>
      <c r="H16" s="172" t="inlineStr">
        <is>
          <t>질병 후유장해 3%</t>
        </is>
      </c>
      <c r="I16" s="326" t="n"/>
      <c r="J16" s="327" t="n"/>
      <c r="K16" s="328">
        <f>SUM(L16:O16)</f>
        <v/>
      </c>
      <c r="L16" s="341" t="n"/>
      <c r="M16" s="341" t="n"/>
      <c r="N16" s="341" t="n"/>
      <c r="O16" s="341" t="n"/>
    </row>
    <row r="17" ht="21" customFormat="1" customHeight="1" s="298">
      <c r="B17" s="342" t="n"/>
      <c r="C17" s="343" t="n"/>
      <c r="D17" s="344" t="n"/>
      <c r="E17" s="343" t="n"/>
      <c r="F17" s="345" t="n"/>
      <c r="G17" s="346">
        <f>SUM(B17:F17)</f>
        <v/>
      </c>
      <c r="H17" s="347" t="inlineStr">
        <is>
          <t>일반암(유사암제외)</t>
        </is>
      </c>
      <c r="I17" s="334" t="n"/>
      <c r="J17" s="335" t="n"/>
      <c r="K17" s="348">
        <f>SUM(L17:O17)</f>
        <v/>
      </c>
      <c r="L17" s="349" t="n"/>
      <c r="M17" s="349" t="n"/>
      <c r="N17" s="349" t="n"/>
      <c r="O17" s="349" t="n"/>
    </row>
    <row r="18" ht="21" customFormat="1" customHeight="1" s="298">
      <c r="B18" s="320" t="n"/>
      <c r="C18" s="350" t="n"/>
      <c r="D18" s="312" t="n"/>
      <c r="E18" s="350" t="n"/>
      <c r="F18" s="351" t="n"/>
      <c r="G18" s="314">
        <f>SUM(B18:F18)</f>
        <v/>
      </c>
      <c r="H18" s="315" t="inlineStr">
        <is>
          <t>유사암 / 소액암</t>
        </is>
      </c>
      <c r="I18" s="316" t="n"/>
      <c r="J18" s="317" t="n"/>
      <c r="K18" s="318">
        <f>SUM(L18:O18)</f>
        <v/>
      </c>
      <c r="L18" s="319" t="n"/>
      <c r="M18" s="319" t="n"/>
      <c r="N18" s="319" t="n"/>
      <c r="O18" s="319" t="n"/>
    </row>
    <row r="19" ht="21" customFormat="1" customHeight="1" s="298">
      <c r="B19" s="320" t="n"/>
      <c r="C19" s="350" t="n"/>
      <c r="D19" s="312" t="n"/>
      <c r="E19" s="350" t="n"/>
      <c r="F19" s="351" t="n"/>
      <c r="G19" s="314">
        <f>SUM(B19:F19)</f>
        <v/>
      </c>
      <c r="H19" s="315" t="inlineStr">
        <is>
          <t>암수술</t>
        </is>
      </c>
      <c r="I19" s="316" t="n"/>
      <c r="J19" s="317" t="n"/>
      <c r="K19" s="318">
        <f>SUM(L19:O19)</f>
        <v/>
      </c>
      <c r="L19" s="319" t="n"/>
      <c r="M19" s="319" t="n"/>
      <c r="N19" s="319" t="n"/>
      <c r="O19" s="319" t="n"/>
    </row>
    <row r="20" ht="21" customFormat="1" customHeight="1" s="298">
      <c r="B20" s="320" t="n"/>
      <c r="C20" s="350" t="n"/>
      <c r="D20" s="312" t="n"/>
      <c r="E20" s="350" t="n"/>
      <c r="F20" s="351" t="n"/>
      <c r="G20" s="314">
        <f>SUM(B20:F20)</f>
        <v/>
      </c>
      <c r="H20" s="315" t="inlineStr">
        <is>
          <t>항암방사선·항암약물</t>
        </is>
      </c>
      <c r="I20" s="316" t="n"/>
      <c r="J20" s="317" t="n"/>
      <c r="K20" s="318">
        <f>SUM(L20:O20)</f>
        <v/>
      </c>
      <c r="L20" s="319" t="n"/>
      <c r="M20" s="319" t="n"/>
      <c r="N20" s="319" t="n"/>
      <c r="O20" s="319" t="n"/>
    </row>
    <row r="21" ht="21" customFormat="1" customHeight="1" s="298" thickBot="1">
      <c r="B21" s="321" t="n"/>
      <c r="C21" s="352" t="n"/>
      <c r="D21" s="322" t="n"/>
      <c r="E21" s="352" t="n"/>
      <c r="F21" s="353" t="n"/>
      <c r="G21" s="324">
        <f>SUM(B21:F21)</f>
        <v/>
      </c>
      <c r="H21" s="325" t="inlineStr">
        <is>
          <t>표적항암약물</t>
        </is>
      </c>
      <c r="I21" s="326" t="n"/>
      <c r="J21" s="327" t="n"/>
      <c r="K21" s="328">
        <f>SUM(L21:O21)</f>
        <v/>
      </c>
      <c r="L21" s="329" t="n"/>
      <c r="M21" s="329" t="n"/>
      <c r="N21" s="329" t="n"/>
      <c r="O21" s="329" t="n"/>
    </row>
    <row r="22" ht="21" customFormat="1" customHeight="1" s="298">
      <c r="B22" s="330" t="n"/>
      <c r="C22" s="331" t="n"/>
      <c r="D22" s="331" t="n"/>
      <c r="E22" s="331" t="n"/>
      <c r="F22" s="332" t="n"/>
      <c r="G22" s="346">
        <f>SUM(B22:F22)</f>
        <v/>
      </c>
      <c r="H22" s="347" t="inlineStr">
        <is>
          <t>뇌혈관 진단비</t>
        </is>
      </c>
      <c r="I22" s="334" t="n"/>
      <c r="J22" s="335" t="n"/>
      <c r="K22" s="348">
        <f>SUM(L22:O22)</f>
        <v/>
      </c>
      <c r="L22" s="337" t="n"/>
      <c r="M22" s="337" t="n"/>
      <c r="N22" s="337" t="n"/>
      <c r="O22" s="337" t="n"/>
    </row>
    <row r="23" ht="21" customFormat="1" customHeight="1" s="298">
      <c r="B23" s="354" t="n"/>
      <c r="C23" s="355" t="n"/>
      <c r="D23" s="355" t="n"/>
      <c r="E23" s="355" t="n"/>
      <c r="F23" s="356" t="n"/>
      <c r="G23" s="314">
        <f>SUM(B23:F23)</f>
        <v/>
      </c>
      <c r="H23" s="357" t="inlineStr">
        <is>
          <t>뇌혈관 수술비</t>
        </is>
      </c>
      <c r="I23" s="316" t="n"/>
      <c r="J23" s="317" t="n"/>
      <c r="K23" s="318">
        <f>SUM(L23:O23)</f>
        <v/>
      </c>
      <c r="L23" s="358" t="n"/>
      <c r="M23" s="358" t="n"/>
      <c r="N23" s="358" t="n"/>
      <c r="O23" s="358" t="n"/>
    </row>
    <row r="24" ht="21" customFormat="1" customHeight="1" s="298">
      <c r="B24" s="354" t="n"/>
      <c r="C24" s="355" t="n"/>
      <c r="D24" s="355" t="n"/>
      <c r="E24" s="355" t="n"/>
      <c r="F24" s="356" t="n"/>
      <c r="G24" s="314">
        <f>SUM(B24:F24)</f>
        <v/>
      </c>
      <c r="H24" s="357" t="inlineStr">
        <is>
          <t>뇌졸중</t>
        </is>
      </c>
      <c r="I24" s="316" t="n"/>
      <c r="J24" s="317" t="n"/>
      <c r="K24" s="318">
        <f>SUM(L24:O24)</f>
        <v/>
      </c>
      <c r="L24" s="358" t="n"/>
      <c r="M24" s="358" t="n"/>
      <c r="N24" s="358" t="n"/>
      <c r="O24" s="358" t="n"/>
    </row>
    <row r="25" ht="21" customFormat="1" customHeight="1" s="298" thickBot="1">
      <c r="B25" s="338" t="n"/>
      <c r="C25" s="339" t="n"/>
      <c r="D25" s="339" t="n"/>
      <c r="E25" s="339" t="n"/>
      <c r="F25" s="340" t="n"/>
      <c r="G25" s="324">
        <f>SUM(B25:F25)</f>
        <v/>
      </c>
      <c r="H25" s="359" t="inlineStr">
        <is>
          <t>뇌출혈</t>
        </is>
      </c>
      <c r="I25" s="326" t="n"/>
      <c r="J25" s="327" t="n"/>
      <c r="K25" s="328">
        <f>SUM(L25:O25)</f>
        <v/>
      </c>
      <c r="L25" s="341" t="n"/>
      <c r="M25" s="341" t="n"/>
      <c r="N25" s="341" t="n"/>
      <c r="O25" s="341" t="n"/>
    </row>
    <row r="26" ht="21" customFormat="1" customHeight="1" s="298">
      <c r="B26" s="342" t="n"/>
      <c r="C26" s="344" t="n"/>
      <c r="D26" s="344" t="n"/>
      <c r="E26" s="344" t="n"/>
      <c r="F26" s="360" t="n"/>
      <c r="G26" s="346">
        <f>SUM(B26:F26)</f>
        <v/>
      </c>
      <c r="H26" s="347" t="inlineStr">
        <is>
          <t>허혈성심장질환 진단비</t>
        </is>
      </c>
      <c r="I26" s="334" t="n"/>
      <c r="J26" s="335" t="n"/>
      <c r="K26" s="348">
        <f>SUM(L26:O26)</f>
        <v/>
      </c>
      <c r="L26" s="349" t="n"/>
      <c r="M26" s="349" t="n"/>
      <c r="N26" s="349" t="n"/>
      <c r="O26" s="349" t="n"/>
    </row>
    <row r="27" ht="21" customFormat="1" customHeight="1" s="298">
      <c r="B27" s="320" t="n"/>
      <c r="C27" s="312" t="n"/>
      <c r="D27" s="312" t="n"/>
      <c r="E27" s="312" t="n"/>
      <c r="F27" s="313" t="n"/>
      <c r="G27" s="314">
        <f>SUM(B27:F27)</f>
        <v/>
      </c>
      <c r="H27" s="315" t="inlineStr">
        <is>
          <t>허혈심장 수술비</t>
        </is>
      </c>
      <c r="I27" s="316" t="n"/>
      <c r="J27" s="317" t="n"/>
      <c r="K27" s="318">
        <f>SUM(L27:O27)</f>
        <v/>
      </c>
      <c r="L27" s="319" t="n"/>
      <c r="M27" s="319" t="n"/>
      <c r="N27" s="319" t="n"/>
      <c r="O27" s="319" t="n"/>
    </row>
    <row r="28" hidden="1" ht="21" customFormat="1" customHeight="1" s="298">
      <c r="B28" s="320" t="n"/>
      <c r="C28" s="312" t="n"/>
      <c r="D28" s="312" t="n"/>
      <c r="E28" s="312" t="n"/>
      <c r="F28" s="313" t="n"/>
      <c r="G28" s="314">
        <f>SUM(B28:F28)</f>
        <v/>
      </c>
      <c r="H28" s="315" t="inlineStr">
        <is>
          <t>심혈관(심부전, 기타)</t>
        </is>
      </c>
      <c r="I28" s="316" t="n"/>
      <c r="J28" s="317" t="n"/>
      <c r="K28" s="318">
        <f>SUM(L28:O28)</f>
        <v/>
      </c>
      <c r="L28" s="319" t="n"/>
      <c r="M28" s="319" t="n"/>
      <c r="N28" s="319" t="n"/>
      <c r="O28" s="319" t="n"/>
    </row>
    <row r="29" ht="21" customFormat="1" customHeight="1" s="298">
      <c r="B29" s="320" t="n"/>
      <c r="C29" s="319" t="n"/>
      <c r="D29" s="319" t="n"/>
      <c r="E29" s="319" t="n"/>
      <c r="F29" s="313" t="n"/>
      <c r="G29" s="314">
        <f>SUM(B29:F29)</f>
        <v/>
      </c>
      <c r="H29" s="315" t="inlineStr">
        <is>
          <t>부정맥(I49)</t>
        </is>
      </c>
      <c r="I29" s="316" t="n"/>
      <c r="J29" s="317" t="n"/>
      <c r="K29" s="318">
        <f>SUM(L29:O29)</f>
        <v/>
      </c>
      <c r="L29" s="319" t="n"/>
      <c r="M29" s="319" t="n"/>
      <c r="N29" s="319" t="n"/>
      <c r="O29" s="319" t="n"/>
    </row>
    <row r="30" ht="21" customFormat="1" customHeight="1" s="298" thickBot="1">
      <c r="B30" s="321" t="n"/>
      <c r="C30" s="322" t="n"/>
      <c r="D30" s="322" t="n"/>
      <c r="E30" s="322" t="n"/>
      <c r="F30" s="323" t="n"/>
      <c r="G30" s="324">
        <f>SUM(B30:F30)</f>
        <v/>
      </c>
      <c r="H30" s="325" t="inlineStr">
        <is>
          <t>급성심근경색</t>
        </is>
      </c>
      <c r="I30" s="326" t="n"/>
      <c r="J30" s="327" t="n"/>
      <c r="K30" s="328">
        <f>SUM(L30:O30)</f>
        <v/>
      </c>
      <c r="L30" s="329" t="n"/>
      <c r="M30" s="329" t="n"/>
      <c r="N30" s="329" t="n"/>
      <c r="O30" s="329" t="n"/>
    </row>
    <row r="31" ht="21" customFormat="1" customHeight="1" s="298">
      <c r="B31" s="330" t="n"/>
      <c r="C31" s="337" t="n"/>
      <c r="D31" s="331" t="n"/>
      <c r="E31" s="337" t="n"/>
      <c r="F31" s="361" t="n"/>
      <c r="G31" s="346">
        <f>SUM(B31:F31)</f>
        <v/>
      </c>
      <c r="H31" s="362" t="inlineStr">
        <is>
          <t>상해수술(ALL)</t>
        </is>
      </c>
      <c r="I31" s="334" t="n"/>
      <c r="J31" s="335" t="n"/>
      <c r="K31" s="348">
        <f>SUM(L31:O31)</f>
        <v/>
      </c>
      <c r="L31" s="337" t="n"/>
      <c r="M31" s="337" t="n"/>
      <c r="N31" s="337" t="n"/>
      <c r="O31" s="337" t="n"/>
    </row>
    <row r="32" ht="21" customFormat="1" customHeight="1" s="298">
      <c r="B32" s="354" t="n"/>
      <c r="C32" s="358" t="n"/>
      <c r="D32" s="355" t="n"/>
      <c r="E32" s="358" t="n"/>
      <c r="F32" s="363" t="n"/>
      <c r="G32" s="364">
        <f>SUM(B32:F32)</f>
        <v/>
      </c>
      <c r="H32" s="365" t="inlineStr">
        <is>
          <t>상해 1-5종수술(1종)</t>
        </is>
      </c>
      <c r="I32" s="316" t="n"/>
      <c r="J32" s="317" t="n"/>
      <c r="K32" s="366">
        <f>SUM(L32:O32)</f>
        <v/>
      </c>
      <c r="L32" s="358" t="n"/>
      <c r="M32" s="358" t="n"/>
      <c r="N32" s="358" t="n"/>
      <c r="O32" s="358" t="n"/>
    </row>
    <row r="33" ht="21" customFormat="1" customHeight="1" s="298">
      <c r="B33" s="354" t="n"/>
      <c r="C33" s="358" t="n"/>
      <c r="D33" s="355" t="n"/>
      <c r="E33" s="358" t="n"/>
      <c r="F33" s="363" t="n"/>
      <c r="G33" s="364">
        <f>SUM(B33:F33)</f>
        <v/>
      </c>
      <c r="H33" s="365" t="inlineStr">
        <is>
          <t>상해 1-5종수술(2종)</t>
        </is>
      </c>
      <c r="I33" s="316" t="n"/>
      <c r="J33" s="317" t="n"/>
      <c r="K33" s="366">
        <f>SUM(L33:O33)</f>
        <v/>
      </c>
      <c r="L33" s="358" t="n"/>
      <c r="M33" s="358" t="n"/>
      <c r="N33" s="358" t="n"/>
      <c r="O33" s="358" t="n"/>
    </row>
    <row r="34" ht="21" customFormat="1" customHeight="1" s="298">
      <c r="B34" s="354" t="n"/>
      <c r="C34" s="358" t="n"/>
      <c r="D34" s="355" t="n"/>
      <c r="E34" s="358" t="n"/>
      <c r="F34" s="363" t="n"/>
      <c r="G34" s="364">
        <f>SUM(B34:F34)</f>
        <v/>
      </c>
      <c r="H34" s="365" t="inlineStr">
        <is>
          <t>상해 1-5종수술(3종)</t>
        </is>
      </c>
      <c r="I34" s="316" t="n"/>
      <c r="J34" s="317" t="n"/>
      <c r="K34" s="366">
        <f>SUM(L34:O34)</f>
        <v/>
      </c>
      <c r="L34" s="358" t="n"/>
      <c r="M34" s="358" t="n"/>
      <c r="N34" s="358" t="n"/>
      <c r="O34" s="358" t="n"/>
    </row>
    <row r="35" ht="21" customFormat="1" customHeight="1" s="298">
      <c r="B35" s="354" t="n"/>
      <c r="C35" s="358" t="n"/>
      <c r="D35" s="355" t="n"/>
      <c r="E35" s="358" t="n"/>
      <c r="F35" s="363" t="n"/>
      <c r="G35" s="364">
        <f>SUM(B35:F35)</f>
        <v/>
      </c>
      <c r="H35" s="365" t="inlineStr">
        <is>
          <t>상해 1-5종수술(4종)</t>
        </is>
      </c>
      <c r="I35" s="316" t="n"/>
      <c r="J35" s="317" t="n"/>
      <c r="K35" s="366">
        <f>SUM(L35:O35)</f>
        <v/>
      </c>
      <c r="L35" s="358" t="n"/>
      <c r="M35" s="358" t="n"/>
      <c r="N35" s="358" t="n"/>
      <c r="O35" s="358" t="n"/>
    </row>
    <row r="36" ht="21" customFormat="1" customHeight="1" s="298" thickBot="1">
      <c r="B36" s="338" t="n"/>
      <c r="C36" s="341" t="n"/>
      <c r="D36" s="339" t="n"/>
      <c r="E36" s="341" t="n"/>
      <c r="F36" s="367" t="n"/>
      <c r="G36" s="368">
        <f>SUM(B36:F36)</f>
        <v/>
      </c>
      <c r="H36" s="369" t="inlineStr">
        <is>
          <t>상해 1-5종수술(5종)</t>
        </is>
      </c>
      <c r="I36" s="326" t="n"/>
      <c r="J36" s="327" t="n"/>
      <c r="K36" s="370">
        <f>SUM(L36:O36)</f>
        <v/>
      </c>
      <c r="L36" s="341" t="n"/>
      <c r="M36" s="341" t="n"/>
      <c r="N36" s="341" t="n"/>
      <c r="O36" s="341" t="n"/>
    </row>
    <row r="37" ht="21" customFormat="1" customHeight="1" s="298">
      <c r="B37" s="342" t="n"/>
      <c r="C37" s="349" t="n"/>
      <c r="D37" s="344" t="n"/>
      <c r="E37" s="349" t="n"/>
      <c r="F37" s="371" t="n"/>
      <c r="G37" s="346">
        <f>SUM(B37:F37)</f>
        <v/>
      </c>
      <c r="H37" s="362" t="inlineStr">
        <is>
          <t>질병수술(ALL)</t>
        </is>
      </c>
      <c r="I37" s="334" t="n"/>
      <c r="J37" s="335" t="n"/>
      <c r="K37" s="348">
        <f>SUM(L37:O37)</f>
        <v/>
      </c>
      <c r="L37" s="349" t="n"/>
      <c r="M37" s="349" t="n"/>
      <c r="N37" s="349" t="n"/>
      <c r="O37" s="349" t="n"/>
    </row>
    <row r="38" ht="21" customFormat="1" customHeight="1" s="298">
      <c r="B38" s="320" t="n"/>
      <c r="C38" s="319" t="n"/>
      <c r="D38" s="312" t="n"/>
      <c r="E38" s="319" t="n"/>
      <c r="F38" s="372" t="n"/>
      <c r="G38" s="364">
        <f>SUM(B38:F38)</f>
        <v/>
      </c>
      <c r="H38" s="373" t="inlineStr">
        <is>
          <t>질병 1-5종수술(1종)</t>
        </is>
      </c>
      <c r="I38" s="316" t="n"/>
      <c r="J38" s="317" t="n"/>
      <c r="K38" s="366">
        <f>SUM(L38:O38)</f>
        <v/>
      </c>
      <c r="L38" s="319" t="n"/>
      <c r="M38" s="319" t="n"/>
      <c r="N38" s="319" t="n"/>
      <c r="O38" s="319" t="n"/>
    </row>
    <row r="39" ht="21" customFormat="1" customHeight="1" s="298">
      <c r="B39" s="320" t="n"/>
      <c r="C39" s="319" t="n"/>
      <c r="D39" s="312" t="n"/>
      <c r="E39" s="319" t="n"/>
      <c r="F39" s="372" t="n"/>
      <c r="G39" s="364">
        <f>SUM(B39:F39)</f>
        <v/>
      </c>
      <c r="H39" s="373" t="inlineStr">
        <is>
          <t>질병 1-5종수술(2종)</t>
        </is>
      </c>
      <c r="I39" s="316" t="n"/>
      <c r="J39" s="317" t="n"/>
      <c r="K39" s="366">
        <f>SUM(L39:O39)</f>
        <v/>
      </c>
      <c r="L39" s="319" t="n"/>
      <c r="M39" s="319" t="n"/>
      <c r="N39" s="319" t="n"/>
      <c r="O39" s="319" t="n"/>
    </row>
    <row r="40" ht="21" customFormat="1" customHeight="1" s="298">
      <c r="B40" s="320" t="n"/>
      <c r="C40" s="319" t="n"/>
      <c r="D40" s="312" t="n"/>
      <c r="E40" s="319" t="n"/>
      <c r="F40" s="372" t="n"/>
      <c r="G40" s="364">
        <f>SUM(B40:F40)</f>
        <v/>
      </c>
      <c r="H40" s="373" t="inlineStr">
        <is>
          <t>질병 1-5종수술(3종)</t>
        </is>
      </c>
      <c r="I40" s="316" t="n"/>
      <c r="J40" s="317" t="n"/>
      <c r="K40" s="366">
        <f>SUM(L40:O40)</f>
        <v/>
      </c>
      <c r="L40" s="319" t="n"/>
      <c r="M40" s="319" t="n"/>
      <c r="N40" s="319" t="n"/>
      <c r="O40" s="319" t="n"/>
    </row>
    <row r="41" ht="21" customFormat="1" customHeight="1" s="298">
      <c r="B41" s="320" t="n"/>
      <c r="C41" s="319" t="n"/>
      <c r="D41" s="312" t="n"/>
      <c r="E41" s="319" t="n"/>
      <c r="F41" s="372" t="n"/>
      <c r="G41" s="364">
        <f>SUM(B41:F41)</f>
        <v/>
      </c>
      <c r="H41" s="373" t="inlineStr">
        <is>
          <t>질병 1-5종수술(4종)</t>
        </is>
      </c>
      <c r="I41" s="316" t="n"/>
      <c r="J41" s="317" t="n"/>
      <c r="K41" s="366">
        <f>SUM(L41:O41)</f>
        <v/>
      </c>
      <c r="L41" s="319" t="n"/>
      <c r="M41" s="319" t="n"/>
      <c r="N41" s="319" t="n"/>
      <c r="O41" s="319" t="n"/>
    </row>
    <row r="42" ht="21" customFormat="1" customHeight="1" s="298" thickBot="1">
      <c r="B42" s="321" t="n"/>
      <c r="C42" s="329" t="n"/>
      <c r="D42" s="322" t="n"/>
      <c r="E42" s="329" t="n"/>
      <c r="F42" s="374" t="n"/>
      <c r="G42" s="368">
        <f>SUM(B42:F42)</f>
        <v/>
      </c>
      <c r="H42" s="375" t="inlineStr">
        <is>
          <t>질병 1-5종수술(5종)</t>
        </is>
      </c>
      <c r="I42" s="326" t="n"/>
      <c r="J42" s="327" t="n"/>
      <c r="K42" s="370">
        <f>SUM(L42:O42)</f>
        <v/>
      </c>
      <c r="L42" s="329" t="n"/>
      <c r="M42" s="329" t="n"/>
      <c r="N42" s="329" t="n"/>
      <c r="O42" s="329" t="n"/>
    </row>
    <row r="43" ht="21" customFormat="1" customHeight="1" s="298">
      <c r="B43" s="330" t="n"/>
      <c r="C43" s="331" t="n"/>
      <c r="D43" s="331" t="n"/>
      <c r="E43" s="331" t="n"/>
      <c r="F43" s="332" t="n"/>
      <c r="G43" s="333">
        <f>SUM(B43:F43)</f>
        <v/>
      </c>
      <c r="H43" s="376" t="inlineStr">
        <is>
          <t>상해 입원일당(1일이상)</t>
        </is>
      </c>
      <c r="I43" s="334" t="n"/>
      <c r="J43" s="335" t="n"/>
      <c r="K43" s="336">
        <f>SUM(L43:O43)</f>
        <v/>
      </c>
      <c r="L43" s="337" t="n"/>
      <c r="M43" s="337" t="n"/>
      <c r="N43" s="337" t="n"/>
      <c r="O43" s="337" t="n"/>
    </row>
    <row r="44" ht="21" customFormat="1" customHeight="1" s="298" thickBot="1">
      <c r="B44" s="338" t="n"/>
      <c r="C44" s="339" t="n"/>
      <c r="D44" s="339" t="n"/>
      <c r="E44" s="339" t="n"/>
      <c r="F44" s="340" t="n"/>
      <c r="G44" s="324">
        <f>SUM(B44:F44)</f>
        <v/>
      </c>
      <c r="H44" s="359" t="inlineStr">
        <is>
          <t>질병 입원일당(1일이상)</t>
        </is>
      </c>
      <c r="I44" s="326" t="n"/>
      <c r="J44" s="327" t="n"/>
      <c r="K44" s="328">
        <f>SUM(L44:O44)</f>
        <v/>
      </c>
      <c r="L44" s="341" t="n"/>
      <c r="M44" s="341" t="n"/>
      <c r="N44" s="341" t="n"/>
      <c r="O44" s="341" t="n"/>
    </row>
    <row r="45" ht="21" customFormat="1" customHeight="1" s="298">
      <c r="B45" s="342" t="n"/>
      <c r="C45" s="344" t="n"/>
      <c r="D45" s="344" t="n"/>
      <c r="E45" s="344" t="n"/>
      <c r="F45" s="360" t="n"/>
      <c r="G45" s="346">
        <f>SUM(B45:F45)</f>
        <v/>
      </c>
      <c r="H45" s="377" t="inlineStr">
        <is>
          <t>골절진단비</t>
        </is>
      </c>
      <c r="I45" s="334" t="n"/>
      <c r="J45" s="335" t="n"/>
      <c r="K45" s="348">
        <f>SUM(L45:O45)</f>
        <v/>
      </c>
      <c r="L45" s="349" t="n"/>
      <c r="M45" s="349" t="n"/>
      <c r="N45" s="349" t="n"/>
      <c r="O45" s="349" t="n"/>
    </row>
    <row r="46" ht="21" customFormat="1" customHeight="1" s="298">
      <c r="B46" s="320" t="n"/>
      <c r="C46" s="312" t="n"/>
      <c r="D46" s="312" t="n"/>
      <c r="E46" s="312" t="n"/>
      <c r="F46" s="313" t="n"/>
      <c r="G46" s="314">
        <f>SUM(B46:F46)</f>
        <v/>
      </c>
      <c r="H46" s="378" t="inlineStr">
        <is>
          <t>화상진단비</t>
        </is>
      </c>
      <c r="I46" s="316" t="n"/>
      <c r="J46" s="317" t="n"/>
      <c r="K46" s="318">
        <f>SUM(L46:O46)</f>
        <v/>
      </c>
      <c r="L46" s="319" t="n"/>
      <c r="M46" s="319" t="n"/>
      <c r="N46" s="319" t="n"/>
      <c r="O46" s="319" t="n"/>
    </row>
    <row r="47" ht="21" customFormat="1" customHeight="1" s="298">
      <c r="B47" s="320" t="n"/>
      <c r="C47" s="312" t="n"/>
      <c r="D47" s="312" t="n"/>
      <c r="E47" s="312" t="n"/>
      <c r="F47" s="313" t="n"/>
      <c r="G47" s="314">
        <f>SUM(B47:F47)</f>
        <v/>
      </c>
      <c r="H47" s="315" t="inlineStr">
        <is>
          <t>깁스치료비</t>
        </is>
      </c>
      <c r="I47" s="316" t="n"/>
      <c r="J47" s="317" t="n"/>
      <c r="K47" s="318">
        <f>SUM(L47:O47)</f>
        <v/>
      </c>
      <c r="L47" s="319" t="n"/>
      <c r="M47" s="319" t="n"/>
      <c r="N47" s="319" t="n"/>
      <c r="O47" s="319" t="n"/>
    </row>
    <row r="48" ht="21" customFormat="1" customHeight="1" s="298" thickBot="1">
      <c r="B48" s="321" t="n"/>
      <c r="C48" s="322" t="n"/>
      <c r="D48" s="322" t="n"/>
      <c r="E48" s="322" t="n"/>
      <c r="F48" s="323" t="n"/>
      <c r="G48" s="324">
        <f>SUM(B48:F48)</f>
        <v/>
      </c>
      <c r="H48" s="379" t="inlineStr">
        <is>
          <t>응급실 내원비</t>
        </is>
      </c>
      <c r="I48" s="326" t="n"/>
      <c r="J48" s="327" t="n"/>
      <c r="K48" s="328">
        <f>SUM(L48:O48)</f>
        <v/>
      </c>
      <c r="L48" s="329" t="n"/>
      <c r="M48" s="329" t="n"/>
      <c r="N48" s="329" t="n"/>
      <c r="O48" s="329" t="n"/>
    </row>
    <row r="49" ht="21" customFormat="1" customHeight="1" s="298">
      <c r="B49" s="330" t="n"/>
      <c r="C49" s="331" t="n"/>
      <c r="D49" s="331" t="n"/>
      <c r="E49" s="331" t="n"/>
      <c r="F49" s="332" t="n"/>
      <c r="G49" s="333">
        <f>SUM(B49:F49)</f>
        <v/>
      </c>
      <c r="H49" s="376" t="inlineStr">
        <is>
          <t>간병사용(상해)</t>
        </is>
      </c>
      <c r="I49" s="334" t="n"/>
      <c r="J49" s="335" t="n"/>
      <c r="K49" s="336">
        <f>SUM(L49:O49)</f>
        <v/>
      </c>
      <c r="L49" s="337" t="n"/>
      <c r="M49" s="337" t="n"/>
      <c r="N49" s="337" t="n"/>
      <c r="O49" s="337" t="n"/>
    </row>
    <row r="50" ht="21" customFormat="1" customHeight="1" s="298" thickBot="1">
      <c r="B50" s="338" t="n"/>
      <c r="C50" s="339" t="n"/>
      <c r="D50" s="339" t="n"/>
      <c r="E50" s="339" t="n"/>
      <c r="F50" s="340" t="n"/>
      <c r="G50" s="324">
        <f>SUM(B50:F50)</f>
        <v/>
      </c>
      <c r="H50" s="359" t="inlineStr">
        <is>
          <t>간병사용(질병)</t>
        </is>
      </c>
      <c r="I50" s="326" t="n"/>
      <c r="J50" s="327" t="n"/>
      <c r="K50" s="328">
        <f>SUM(L50:O50)</f>
        <v/>
      </c>
      <c r="L50" s="341" t="n"/>
      <c r="M50" s="341" t="n"/>
      <c r="N50" s="341" t="n"/>
      <c r="O50" s="341" t="n"/>
    </row>
    <row r="51" ht="21" customFormat="1" customHeight="1" s="298">
      <c r="B51" s="342" t="n"/>
      <c r="C51" s="344" t="n"/>
      <c r="D51" s="344" t="n"/>
      <c r="E51" s="344" t="n"/>
      <c r="F51" s="360" t="n"/>
      <c r="G51" s="346">
        <f>SUM(B51:F51)</f>
        <v/>
      </c>
      <c r="H51" s="377" t="inlineStr">
        <is>
          <t>자동차사고부상</t>
        </is>
      </c>
      <c r="I51" s="334" t="n"/>
      <c r="J51" s="335" t="n"/>
      <c r="K51" s="348">
        <f>SUM(L51:O51)</f>
        <v/>
      </c>
      <c r="L51" s="349" t="n"/>
      <c r="M51" s="349" t="n"/>
      <c r="N51" s="349" t="n"/>
      <c r="O51" s="349" t="n"/>
    </row>
    <row r="52" ht="21" customFormat="1" customHeight="1" s="298">
      <c r="B52" s="320" t="n"/>
      <c r="C52" s="312" t="n"/>
      <c r="D52" s="312" t="n"/>
      <c r="E52" s="312" t="n"/>
      <c r="F52" s="313" t="n"/>
      <c r="G52" s="314">
        <f>SUM(B52:F52)</f>
        <v/>
      </c>
      <c r="H52" s="378" t="inlineStr">
        <is>
          <t>벌
금</t>
        </is>
      </c>
      <c r="I52" s="380" t="inlineStr">
        <is>
          <t>대인</t>
        </is>
      </c>
      <c r="J52" s="317" t="n"/>
      <c r="K52" s="318">
        <f>SUM(L52:O52)</f>
        <v/>
      </c>
      <c r="L52" s="319" t="n"/>
      <c r="M52" s="319" t="n"/>
      <c r="N52" s="319" t="n"/>
      <c r="O52" s="319" t="n"/>
    </row>
    <row r="53" ht="21" customFormat="1" customHeight="1" s="298">
      <c r="B53" s="320" t="n"/>
      <c r="C53" s="312" t="n"/>
      <c r="D53" s="312" t="n"/>
      <c r="E53" s="312" t="n"/>
      <c r="F53" s="313" t="n"/>
      <c r="G53" s="314">
        <f>SUM(B53:F53)</f>
        <v/>
      </c>
      <c r="H53" s="381" t="n"/>
      <c r="I53" s="380" t="inlineStr">
        <is>
          <t>대물</t>
        </is>
      </c>
      <c r="J53" s="317" t="n"/>
      <c r="K53" s="318">
        <f>SUM(L53:O53)</f>
        <v/>
      </c>
      <c r="L53" s="319" t="n"/>
      <c r="M53" s="319" t="n"/>
      <c r="N53" s="319" t="n"/>
      <c r="O53" s="319" t="n"/>
    </row>
    <row r="54" ht="21" customFormat="1" customHeight="1" s="298">
      <c r="B54" s="320" t="n"/>
      <c r="C54" s="312" t="n"/>
      <c r="D54" s="312" t="n"/>
      <c r="E54" s="312" t="n"/>
      <c r="F54" s="313" t="n"/>
      <c r="G54" s="314">
        <f>SUM(B54:F54)</f>
        <v/>
      </c>
      <c r="H54" s="378" t="inlineStr">
        <is>
          <t>합
의</t>
        </is>
      </c>
      <c r="I54" s="380" t="inlineStr">
        <is>
          <t>사망/중상해</t>
        </is>
      </c>
      <c r="J54" s="317" t="n"/>
      <c r="K54" s="318">
        <f>SUM(L54:O54)</f>
        <v/>
      </c>
      <c r="L54" s="319" t="n"/>
      <c r="M54" s="319" t="n"/>
      <c r="N54" s="319" t="n"/>
      <c r="O54" s="319" t="n"/>
    </row>
    <row r="55" ht="21" customFormat="1" customHeight="1" s="298">
      <c r="B55" s="320" t="n"/>
      <c r="C55" s="312" t="n"/>
      <c r="D55" s="312" t="n"/>
      <c r="E55" s="312" t="n"/>
      <c r="F55" s="313" t="n"/>
      <c r="G55" s="314">
        <f>SUM(B55:F55)</f>
        <v/>
      </c>
      <c r="H55" s="381" t="n"/>
      <c r="I55" s="380" t="inlineStr">
        <is>
          <t>6주미만</t>
        </is>
      </c>
      <c r="J55" s="317" t="n"/>
      <c r="K55" s="318">
        <f>SUM(L55:O55)</f>
        <v/>
      </c>
      <c r="L55" s="319" t="n"/>
      <c r="M55" s="319" t="n"/>
      <c r="N55" s="319" t="n"/>
      <c r="O55" s="319" t="n"/>
    </row>
    <row r="56" ht="21" customFormat="1" customHeight="1" s="298" thickBot="1">
      <c r="B56" s="382" t="n"/>
      <c r="C56" s="383" t="n"/>
      <c r="D56" s="384" t="n"/>
      <c r="E56" s="385" t="n"/>
      <c r="F56" s="386" t="n"/>
      <c r="G56" s="387">
        <f>SUM(B56:F56)</f>
        <v/>
      </c>
      <c r="H56" s="388" t="inlineStr">
        <is>
          <t>변호사선임비용</t>
        </is>
      </c>
      <c r="I56" s="326" t="n"/>
      <c r="J56" s="389" t="n"/>
      <c r="K56" s="328">
        <f>SUM(L56:O56)</f>
        <v/>
      </c>
      <c r="L56" s="390" t="n"/>
      <c r="M56" s="329" t="n"/>
      <c r="N56" s="390" t="n"/>
      <c r="O56" s="390" t="n"/>
    </row>
    <row r="57" ht="21" customFormat="1" customHeight="1" s="298" thickBot="1">
      <c r="B57" s="391" t="n"/>
      <c r="C57" s="392" t="n"/>
      <c r="D57" s="393" t="n"/>
      <c r="E57" s="394" t="n"/>
      <c r="F57" s="395" t="n"/>
      <c r="G57" s="396">
        <f>SUM(B57:F57)</f>
        <v/>
      </c>
      <c r="H57" s="397" t="inlineStr">
        <is>
          <t>일상배상책임보험</t>
        </is>
      </c>
      <c r="I57" s="398" t="n"/>
      <c r="J57" s="399" t="n"/>
      <c r="K57" s="400">
        <f>SUM(L57:O57)</f>
        <v/>
      </c>
      <c r="L57" s="401" t="n"/>
      <c r="M57" s="402" t="n"/>
      <c r="N57" s="401" t="n"/>
      <c r="O57" s="401" t="n"/>
    </row>
    <row r="58" ht="21" customFormat="1" customHeight="1" s="403" thickBot="1">
      <c r="A58" s="404" t="n"/>
      <c r="B58" s="405" t="n"/>
      <c r="C58" s="406" t="n"/>
      <c r="D58" s="407" t="n"/>
      <c r="E58" s="408" t="n"/>
      <c r="F58" s="409" t="n"/>
      <c r="G58" s="410" t="n"/>
      <c r="H58" s="411" t="inlineStr">
        <is>
          <t>실비</t>
        </is>
      </c>
      <c r="I58" s="412" t="n"/>
      <c r="J58" s="413" t="n"/>
      <c r="K58" s="414" t="n"/>
      <c r="L58" s="415" t="n"/>
      <c r="M58" s="416" t="n"/>
      <c r="N58" s="415" t="n"/>
      <c r="O58" s="415" t="n"/>
    </row>
    <row r="59" ht="21" customFormat="1" customHeight="1" s="417" thickBot="1" thickTop="1">
      <c r="B59" s="418" t="n"/>
      <c r="C59" s="419" t="n"/>
      <c r="D59" s="420" t="n"/>
      <c r="E59" s="421" t="n"/>
      <c r="F59" s="421" t="n"/>
      <c r="G59" s="422">
        <f>SUM(B59:F59)</f>
        <v/>
      </c>
      <c r="H59" s="423" t="n"/>
      <c r="I59" s="424" t="n"/>
      <c r="J59" s="425" t="n"/>
      <c r="K59" s="426">
        <f>SUM(L59:O59)</f>
        <v/>
      </c>
      <c r="L59" s="427" t="n"/>
      <c r="M59" s="428" t="n"/>
      <c r="N59" s="427" t="n"/>
      <c r="O59" s="427" t="n"/>
    </row>
    <row r="60" ht="27.75" customFormat="1" customHeight="1" s="14" thickTop="1">
      <c r="B60" s="429" t="n"/>
      <c r="C60" s="430" t="n"/>
      <c r="D60" s="431" t="n"/>
      <c r="E60" s="430" t="n"/>
      <c r="F60" s="432" t="n"/>
      <c r="G60" s="433" t="inlineStr">
        <is>
          <t>대장용종제거</t>
        </is>
      </c>
      <c r="H60" s="434" t="inlineStr">
        <is>
          <t>전/후 차이금액</t>
        </is>
      </c>
      <c r="I60" s="435" t="n"/>
      <c r="J60" s="436" t="n"/>
      <c r="K60" s="437" t="inlineStr">
        <is>
          <t>대장용종제거</t>
        </is>
      </c>
      <c r="L60" s="430" t="n"/>
      <c r="M60" s="430" t="n"/>
      <c r="N60" s="430" t="n"/>
      <c r="O60" s="438" t="n"/>
    </row>
    <row r="61" ht="27.75" customFormat="1" customHeight="1" s="14" thickBot="1">
      <c r="B61" s="439" t="n"/>
      <c r="C61" s="440" t="n"/>
      <c r="D61" s="441" t="n"/>
      <c r="E61" s="440" t="n"/>
      <c r="F61" s="442" t="n"/>
      <c r="G61" s="443">
        <f>G37+G39</f>
        <v/>
      </c>
      <c r="H61" s="444">
        <f>K59-G59</f>
        <v/>
      </c>
      <c r="I61" s="326" t="n"/>
      <c r="J61" s="389" t="n"/>
      <c r="K61" s="445">
        <f>K37+K39</f>
        <v/>
      </c>
      <c r="L61" s="440" t="n"/>
      <c r="M61" s="440" t="n"/>
      <c r="N61" s="440" t="n"/>
      <c r="O61" s="440" t="n"/>
    </row>
    <row r="62" ht="27.75" customFormat="1" customHeight="1" s="14">
      <c r="B62" s="439" t="n"/>
      <c r="C62" s="440" t="n"/>
      <c r="D62" s="441" t="n"/>
      <c r="E62" s="440" t="n"/>
      <c r="F62" s="442" t="n"/>
      <c r="G62" s="446" t="inlineStr">
        <is>
          <t>체외충격파쇄석술</t>
        </is>
      </c>
      <c r="H62" s="447" t="n"/>
      <c r="I62" s="448" t="n"/>
      <c r="J62" s="449" t="n"/>
      <c r="K62" s="450" t="inlineStr">
        <is>
          <t>체외충격파쇄석술</t>
        </is>
      </c>
      <c r="L62" s="440" t="n"/>
      <c r="M62" s="440" t="n"/>
      <c r="N62" s="440" t="n"/>
      <c r="O62" s="440" t="n"/>
    </row>
    <row r="63" ht="27.75" customFormat="1" customHeight="1" s="14" thickBot="1">
      <c r="B63" s="439" t="n"/>
      <c r="C63" s="440" t="n"/>
      <c r="D63" s="441" t="n"/>
      <c r="E63" s="440" t="n"/>
      <c r="F63" s="442" t="n"/>
      <c r="G63" s="443">
        <f>G39</f>
        <v/>
      </c>
      <c r="H63" s="439" t="n"/>
      <c r="J63" s="272" t="n"/>
      <c r="K63" s="445">
        <f>K39</f>
        <v/>
      </c>
      <c r="L63" s="440" t="n"/>
      <c r="M63" s="440" t="n"/>
      <c r="N63" s="440" t="n"/>
      <c r="O63" s="440" t="n"/>
    </row>
    <row r="64" ht="27.75" customFormat="1" customHeight="1" s="14">
      <c r="B64" s="439" t="n"/>
      <c r="C64" s="440" t="n"/>
      <c r="D64" s="441" t="n"/>
      <c r="E64" s="440" t="n"/>
      <c r="F64" s="442" t="n"/>
      <c r="G64" s="446" t="inlineStr">
        <is>
          <t>골절진단/수술</t>
        </is>
      </c>
      <c r="H64" s="439" t="n"/>
      <c r="J64" s="272" t="n"/>
      <c r="K64" s="450" t="inlineStr">
        <is>
          <t>골절진단/수술</t>
        </is>
      </c>
      <c r="L64" s="440" t="n"/>
      <c r="M64" s="440" t="n"/>
      <c r="N64" s="440" t="n"/>
      <c r="O64" s="440" t="n"/>
    </row>
    <row r="65" ht="27.75" customFormat="1" customHeight="1" s="14" thickBot="1">
      <c r="B65" s="439" t="n"/>
      <c r="C65" s="440" t="n"/>
      <c r="D65" s="441" t="n"/>
      <c r="E65" s="440" t="n"/>
      <c r="F65" s="442" t="n"/>
      <c r="G65" s="443">
        <f>G45+G31</f>
        <v/>
      </c>
      <c r="H65" s="439" t="n"/>
      <c r="J65" s="272" t="n"/>
      <c r="K65" s="445">
        <f>K45+K31</f>
        <v/>
      </c>
      <c r="L65" s="440" t="n"/>
      <c r="M65" s="440" t="n"/>
      <c r="N65" s="440" t="n"/>
      <c r="O65" s="440" t="n"/>
    </row>
    <row r="66" ht="27.75" customFormat="1" customHeight="1" s="14">
      <c r="B66" s="439" t="n"/>
      <c r="C66" s="440" t="n"/>
      <c r="D66" s="441" t="n"/>
      <c r="E66" s="440" t="n"/>
      <c r="F66" s="442" t="n"/>
      <c r="G66" s="446" t="inlineStr">
        <is>
          <t>후유장해 5%</t>
        </is>
      </c>
      <c r="H66" s="439" t="n"/>
      <c r="J66" s="272" t="n"/>
      <c r="K66" s="450" t="inlineStr">
        <is>
          <t>후유장해 5%</t>
        </is>
      </c>
      <c r="L66" s="440" t="n"/>
      <c r="M66" s="440" t="n"/>
      <c r="N66" s="440" t="n"/>
      <c r="O66" s="440" t="n"/>
    </row>
    <row r="67" ht="27.75" customHeight="1" s="260" thickBot="1">
      <c r="B67" s="275" t="n"/>
      <c r="C67" s="276" t="n"/>
      <c r="D67" s="281" t="n"/>
      <c r="E67" s="276" t="n"/>
      <c r="F67" s="277" t="n"/>
      <c r="G67" s="451">
        <f>G15*0.05</f>
        <v/>
      </c>
      <c r="H67" s="275" t="n"/>
      <c r="I67" s="279" t="n"/>
      <c r="J67" s="280" t="n"/>
      <c r="K67" s="445">
        <f>K15*0.05</f>
        <v/>
      </c>
      <c r="L67" s="276" t="n"/>
      <c r="M67" s="276" t="n"/>
      <c r="N67" s="276" t="n"/>
      <c r="O67" s="276" t="n"/>
    </row>
    <row r="68" ht="21" customHeight="1" s="260" thickBot="1" thickTop="1">
      <c r="B68" s="38" t="n"/>
      <c r="C68" s="236" t="n"/>
      <c r="D68" s="452" t="n"/>
      <c r="E68" s="452" t="n"/>
      <c r="F68" s="452" t="n"/>
      <c r="G68" s="452" t="n"/>
      <c r="H68" s="19" t="n"/>
      <c r="I68" s="19" t="n"/>
      <c r="J68" s="21" t="n"/>
      <c r="K68" s="236" t="inlineStr">
        <is>
          <t xml:space="preserve">원금융서비스     / FAX </t>
        </is>
      </c>
      <c r="L68" s="452" t="n"/>
      <c r="M68" s="452" t="n"/>
      <c r="N68" s="452" t="n"/>
      <c r="O68" s="452" t="n"/>
    </row>
    <row r="69"/>
    <row r="70"/>
    <row r="71"/>
    <row r="72" ht="17.4" customHeight="1" s="260">
      <c r="D72" s="453" t="n"/>
    </row>
    <row r="73"/>
    <row r="74">
      <c r="F74" s="454" t="n"/>
      <c r="L74" s="454" t="n"/>
    </row>
    <row r="75"/>
    <row r="76">
      <c r="F76" s="454" t="n"/>
      <c r="L76" s="454" t="n"/>
    </row>
    <row r="77"/>
    <row r="78"/>
    <row r="79"/>
    <row r="80"/>
    <row r="81"/>
    <row r="82">
      <c r="K82" s="4" t="n"/>
    </row>
    <row r="83">
      <c r="K83" s="4" t="n"/>
    </row>
    <row r="84">
      <c r="F84" s="455" t="n"/>
      <c r="K84" s="4" t="n"/>
      <c r="L84" s="455" t="n"/>
    </row>
    <row r="85">
      <c r="F85" s="455" t="n"/>
      <c r="K85" s="4" t="n"/>
      <c r="L85" s="455" t="n"/>
    </row>
    <row r="86">
      <c r="F86" s="455" t="n"/>
      <c r="K86" s="4" t="n"/>
      <c r="L86" s="455" t="n"/>
    </row>
    <row r="87">
      <c r="F87" s="455" t="n"/>
      <c r="K87" s="4" t="n"/>
      <c r="L87" s="455" t="n"/>
    </row>
    <row r="88">
      <c r="F88" s="455" t="n"/>
      <c r="K88" s="4" t="n"/>
      <c r="L88" s="455" t="n"/>
    </row>
    <row r="89">
      <c r="F89" s="455" t="n"/>
      <c r="L89" s="455" t="n"/>
    </row>
    <row r="90">
      <c r="F90" s="455" t="n"/>
      <c r="L90" s="455" t="n"/>
    </row>
    <row r="91">
      <c r="F91" s="455" t="n"/>
      <c r="L91" s="455" t="n"/>
    </row>
    <row r="92"/>
    <row r="93">
      <c r="F93" s="456" t="n"/>
      <c r="L93" s="456" t="n"/>
    </row>
  </sheetData>
  <mergeCells count="82">
    <mergeCell ref="C68:G68"/>
    <mergeCell ref="D60:D67"/>
    <mergeCell ref="F60:F67"/>
    <mergeCell ref="H17:J17"/>
    <mergeCell ref="H11:J11"/>
    <mergeCell ref="H52:H53"/>
    <mergeCell ref="H22:J22"/>
    <mergeCell ref="H19:J19"/>
    <mergeCell ref="B6:B7"/>
    <mergeCell ref="H6:J7"/>
    <mergeCell ref="H5:J5"/>
    <mergeCell ref="H30:J30"/>
    <mergeCell ref="K5:K7"/>
    <mergeCell ref="I52:J52"/>
    <mergeCell ref="C60:C67"/>
    <mergeCell ref="H29:J29"/>
    <mergeCell ref="H38:J38"/>
    <mergeCell ref="L60:L67"/>
    <mergeCell ref="H44:J44"/>
    <mergeCell ref="H31:J31"/>
    <mergeCell ref="H58:J58"/>
    <mergeCell ref="H40:J40"/>
    <mergeCell ref="C6:C7"/>
    <mergeCell ref="C2:F2"/>
    <mergeCell ref="H21:J21"/>
    <mergeCell ref="H51:J51"/>
    <mergeCell ref="H60:J60"/>
    <mergeCell ref="K68:O68"/>
    <mergeCell ref="O60:O67"/>
    <mergeCell ref="H16:J16"/>
    <mergeCell ref="H62:J67"/>
    <mergeCell ref="I54:J54"/>
    <mergeCell ref="H57:J57"/>
    <mergeCell ref="H27:J27"/>
    <mergeCell ref="H33:J33"/>
    <mergeCell ref="E60:E67"/>
    <mergeCell ref="H42:J42"/>
    <mergeCell ref="B60:B67"/>
    <mergeCell ref="L6:L7"/>
    <mergeCell ref="H35:J35"/>
    <mergeCell ref="N6:N7"/>
    <mergeCell ref="N60:N67"/>
    <mergeCell ref="H20:J20"/>
    <mergeCell ref="H59:J59"/>
    <mergeCell ref="H54:H55"/>
    <mergeCell ref="H46:J46"/>
    <mergeCell ref="H61:J61"/>
    <mergeCell ref="G5:G7"/>
    <mergeCell ref="H45:J45"/>
    <mergeCell ref="H32:J32"/>
    <mergeCell ref="H13:J13"/>
    <mergeCell ref="H47:J47"/>
    <mergeCell ref="H15:J15"/>
    <mergeCell ref="H24:J24"/>
    <mergeCell ref="H18:J18"/>
    <mergeCell ref="H8:J8"/>
    <mergeCell ref="H26:J26"/>
    <mergeCell ref="H10:J10"/>
    <mergeCell ref="H50:J50"/>
    <mergeCell ref="H34:J34"/>
    <mergeCell ref="H9:J9"/>
    <mergeCell ref="D6:D7"/>
    <mergeCell ref="H39:J39"/>
    <mergeCell ref="F6:F7"/>
    <mergeCell ref="H49:J49"/>
    <mergeCell ref="H36:J36"/>
    <mergeCell ref="H28:J28"/>
    <mergeCell ref="H37:J37"/>
    <mergeCell ref="M6:M7"/>
    <mergeCell ref="H12:J12"/>
    <mergeCell ref="M60:M67"/>
    <mergeCell ref="I53:J53"/>
    <mergeCell ref="E6:E7"/>
    <mergeCell ref="H48:J48"/>
    <mergeCell ref="H14:J14"/>
    <mergeCell ref="I55:J55"/>
    <mergeCell ref="H23:J23"/>
    <mergeCell ref="H43:J43"/>
    <mergeCell ref="H41:J41"/>
    <mergeCell ref="O6:O7"/>
    <mergeCell ref="H56:J56"/>
    <mergeCell ref="H25:J25"/>
  </mergeCells>
  <printOptions horizontalCentered="1" verticalCentered="1"/>
  <pageMargins left="0.2362204724409449" right="0.2362204724409449" top="0.3543307086614174" bottom="0.3543307086614174" header="0.3149606299212598" footer="0.3149606299212598"/>
  <pageSetup orientation="portrait" paperSize="9" scale="49"/>
  <colBreaks count="1" manualBreakCount="1">
    <brk id="10" min="0" max="79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2018-02-09T01:25:59Z</dcterms:created>
  <dcterms:modified xmlns:dcterms="http://purl.org/dc/terms/" xmlns:xsi="http://www.w3.org/2001/XMLSchema-instance" xsi:type="dcterms:W3CDTF">2026-05-15T02:28:42Z</dcterms:modified>
  <cp:lastModifiedBy>Home</cp:lastModifiedBy>
  <cp:version>1100.0100.01</cp:version>
  <cp:revision>82</cp:revision>
  <cp:lastPrinted>2026-03-03T04:24:13Z</cp:lastPrinted>
</cp:coreProperties>
</file>