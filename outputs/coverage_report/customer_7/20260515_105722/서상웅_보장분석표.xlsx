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768" yWindow="3768" windowWidth="23040" windowHeight="13560" tabRatio="751" firstSheet="0" activeTab="0" autoFilterDateGrouping="1"/>
  </bookViews>
  <sheets>
    <sheet xmlns:r="http://schemas.openxmlformats.org/officeDocument/2006/relationships" name="보장분석 비교" sheetId="1" state="visible" r:id="rId1"/>
    <sheet xmlns:r="http://schemas.openxmlformats.org/officeDocument/2006/relationships" name="Extract_Data_01" sheetId="2" state="visible" r:id="rId2"/>
    <sheet xmlns:r="http://schemas.openxmlformats.org/officeDocument/2006/relationships" name="Extract_Data_02" sheetId="3" state="visible" r:id="rId3"/>
    <sheet xmlns:r="http://schemas.openxmlformats.org/officeDocument/2006/relationships" name="Extract_Data_03" sheetId="4" state="visible" r:id="rId4"/>
    <sheet xmlns:r="http://schemas.openxmlformats.org/officeDocument/2006/relationships" name="Extract_Data_04" sheetId="5" state="visible" r:id="rId5"/>
    <sheet xmlns:r="http://schemas.openxmlformats.org/officeDocument/2006/relationships" name="Extract_Data_05" sheetId="6" state="visible" r:id="rId6"/>
    <sheet xmlns:r="http://schemas.openxmlformats.org/officeDocument/2006/relationships" name="Extract_Data_06" sheetId="7" state="visible" r:id="rId7"/>
    <sheet xmlns:r="http://schemas.openxmlformats.org/officeDocument/2006/relationships" name="Extract_Data_07" sheetId="8" state="visible" r:id="rId8"/>
    <sheet xmlns:r="http://schemas.openxmlformats.org/officeDocument/2006/relationships" name="Extract_Data_08" sheetId="9" state="visible" r:id="rId9"/>
    <sheet xmlns:r="http://schemas.openxmlformats.org/officeDocument/2006/relationships" name="Extract_Data_09" sheetId="10" state="visible" r:id="rId10"/>
    <sheet xmlns:r="http://schemas.openxmlformats.org/officeDocument/2006/relationships" name="Extract_Data_10" sheetId="11" state="visible" r:id="rId11"/>
    <sheet xmlns:r="http://schemas.openxmlformats.org/officeDocument/2006/relationships" name="Extract_Data_11" sheetId="12" state="visible" r:id="rId12"/>
    <sheet xmlns:r="http://schemas.openxmlformats.org/officeDocument/2006/relationships" name="Extract_Data_12" sheetId="13" state="visible" r:id="rId13"/>
    <sheet xmlns:r="http://schemas.openxmlformats.org/officeDocument/2006/relationships" name="고객정보" sheetId="14" state="visible" r:id="rId14"/>
    <sheet xmlns:r="http://schemas.openxmlformats.org/officeDocument/2006/relationships" name="계약리스트_추출" sheetId="15" state="visible" r:id="rId15"/>
    <sheet xmlns:r="http://schemas.openxmlformats.org/officeDocument/2006/relationships" name="담보상세_추출" sheetId="16" state="visible" r:id="rId16"/>
    <sheet xmlns:r="http://schemas.openxmlformats.org/officeDocument/2006/relationships" name="자동분류_요약" sheetId="17" state="visible" r:id="rId17"/>
  </sheets>
  <definedNames>
    <definedName name="_xlnm.Print_Area" localSheetId="0">'보장분석 비교'!$A$1:$O$68</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mm&quot;월&quot;\ dd&quot;일&quot;"/>
    <numFmt numFmtId="166" formatCode="0&quot;만원&quot;"/>
    <numFmt numFmtId="167" formatCode="&quot;₩&quot;#,##0_);[Red]\(&quot;₩&quot;#,##0\)"/>
    <numFmt numFmtId="168" formatCode="0&quot;년&quot;"/>
    <numFmt numFmtId="169" formatCode="0&quot;세&quot;"/>
    <numFmt numFmtId="170" formatCode="#,##0&quot;만원&quot;"/>
    <numFmt numFmtId="171" formatCode="#,##0&quot;원&quot;"/>
  </numFmts>
  <fonts count="25">
    <font>
      <name val="맑은 고딕"/>
      <color rgb="FF000000"/>
      <sz val="11"/>
    </font>
    <font>
      <name val="맑은 고딕"/>
      <charset val="129"/>
      <family val="2"/>
      <color theme="1"/>
      <sz val="11"/>
      <scheme val="minor"/>
    </font>
    <font>
      <name val="맑은 고딕"/>
      <charset val="129"/>
      <family val="3"/>
      <color rgb="FF006100"/>
      <sz val="11"/>
    </font>
    <font>
      <name val="맑은 고딕"/>
      <charset val="129"/>
      <family val="3"/>
      <color rgb="FF9C0006"/>
      <sz val="11"/>
    </font>
    <font>
      <name val="맑은 고딕"/>
      <charset val="129"/>
      <family val="3"/>
      <color rgb="FF000000"/>
      <sz val="11"/>
    </font>
    <font>
      <name val="돋움"/>
      <charset val="129"/>
      <family val="3"/>
      <sz val="8"/>
    </font>
    <font>
      <name val="맑은 고딕"/>
      <charset val="129"/>
      <family val="3"/>
      <color rgb="FF000000"/>
      <sz val="11"/>
    </font>
    <font>
      <name val="맑은 고딕"/>
      <charset val="129"/>
      <family val="3"/>
      <b val="1"/>
      <color theme="9"/>
      <sz val="10"/>
      <scheme val="minor"/>
    </font>
    <font>
      <name val="맑은 고딕"/>
      <charset val="129"/>
      <family val="2"/>
      <sz val="8"/>
      <scheme val="minor"/>
    </font>
    <font>
      <name val="HY헤드라인M"/>
      <charset val="129"/>
      <family val="1"/>
      <color theme="1"/>
      <sz val="11"/>
    </font>
    <font>
      <name val="HY헤드라인M"/>
      <charset val="129"/>
      <family val="1"/>
      <color rgb="FF000000"/>
      <sz val="11"/>
    </font>
    <font>
      <name val="HY헤드라인M"/>
      <charset val="129"/>
      <family val="1"/>
      <color rgb="FF000000"/>
      <sz val="12"/>
    </font>
    <font>
      <name val="HY헤드라인M"/>
      <charset val="129"/>
      <family val="1"/>
      <color theme="0"/>
      <sz val="12"/>
    </font>
    <font>
      <name val="HY헤드라인M"/>
      <charset val="129"/>
      <family val="1"/>
      <color rgb="FF000000"/>
      <sz val="26"/>
    </font>
    <font>
      <name val="HY헤드라인M"/>
      <charset val="129"/>
      <family val="1"/>
      <color rgb="FF0000FF"/>
      <sz val="11"/>
    </font>
    <font>
      <name val="HY헤드라인M"/>
      <charset val="129"/>
      <family val="1"/>
      <color theme="0"/>
      <sz val="11"/>
    </font>
    <font>
      <name val="HY헤드라인M"/>
      <charset val="129"/>
      <family val="1"/>
      <color theme="0"/>
      <sz val="10"/>
    </font>
    <font>
      <name val="YD윤고딕 140"/>
      <charset val="129"/>
      <family val="1"/>
      <color rgb="FF000000"/>
      <sz val="14"/>
    </font>
    <font>
      <name val="YD윤고딕 140"/>
      <charset val="129"/>
      <family val="1"/>
      <color rgb="FF0000FF"/>
      <sz val="14"/>
    </font>
    <font>
      <name val="YD윤고딕 140"/>
      <charset val="129"/>
      <family val="1"/>
      <color theme="1"/>
      <sz val="14"/>
    </font>
    <font>
      <name val="YD윤고딕 140"/>
      <charset val="129"/>
      <family val="1"/>
      <color rgb="FFFF0000"/>
      <sz val="14"/>
    </font>
    <font>
      <name val="YD윤고딕 140"/>
      <charset val="129"/>
      <family val="1"/>
      <color rgb="FF002060"/>
      <sz val="14"/>
    </font>
    <font>
      <name val="YD윤고딕 140"/>
      <charset val="129"/>
      <family val="1"/>
      <color theme="0"/>
      <sz val="14"/>
    </font>
    <font>
      <name val="YD윤고딕 140"/>
      <charset val="129"/>
      <family val="1"/>
      <sz val="14"/>
    </font>
    <font>
      <b val="1"/>
      <color rgb="00FFFFFF"/>
    </font>
  </fonts>
  <fills count="14">
    <fill>
      <patternFill/>
    </fill>
    <fill>
      <patternFill patternType="gray125"/>
    </fill>
    <fill>
      <patternFill patternType="solid">
        <fgColor rgb="FFC6EFCE"/>
        <bgColor indexed="64"/>
      </patternFill>
    </fill>
    <fill>
      <patternFill patternType="solid">
        <fgColor rgb="FFFFC7CE"/>
        <bgColor indexed="64"/>
      </patternFill>
    </fill>
    <fill>
      <patternFill patternType="solid">
        <fgColor theme="0"/>
        <bgColor indexed="64"/>
      </patternFill>
    </fill>
    <fill>
      <patternFill patternType="solid">
        <fgColor theme="3" tint="0.7999816888943144"/>
        <bgColor indexed="64"/>
      </patternFill>
    </fill>
    <fill>
      <patternFill patternType="solid">
        <fgColor theme="9" tint="0.7999816888943144"/>
        <bgColor indexed="64"/>
      </patternFill>
    </fill>
    <fill>
      <patternFill patternType="solid">
        <fgColor rgb="FFFFFF99"/>
        <bgColor indexed="64"/>
      </patternFill>
    </fill>
    <fill>
      <patternFill patternType="solid">
        <fgColor rgb="FFFFFFCC"/>
        <bgColor indexed="64"/>
      </patternFill>
    </fill>
    <fill>
      <patternFill patternType="solid">
        <fgColor theme="3" tint="0.3999755851924192"/>
        <bgColor indexed="64"/>
      </patternFill>
    </fill>
    <fill>
      <patternFill patternType="solid">
        <fgColor rgb="FFCE7270"/>
        <bgColor indexed="64"/>
      </patternFill>
    </fill>
    <fill>
      <patternFill patternType="solid">
        <fgColor theme="0" tint="-0.249977111117893"/>
        <bgColor indexed="64"/>
      </patternFill>
    </fill>
    <fill>
      <patternFill patternType="solid">
        <fgColor theme="1"/>
        <bgColor indexed="64"/>
      </patternFill>
    </fill>
    <fill>
      <patternFill patternType="solid">
        <fgColor rgb="00404040"/>
        <bgColor rgb="00404040"/>
      </patternFill>
    </fill>
  </fills>
  <borders count="10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double">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double">
        <color indexed="64"/>
      </top>
      <bottom/>
      <diagonal/>
    </border>
    <border>
      <left/>
      <right style="thin">
        <color indexed="64"/>
      </right>
      <top/>
      <bottom/>
      <diagonal/>
    </border>
    <border>
      <left/>
      <right/>
      <top style="thin">
        <color indexed="64"/>
      </top>
      <bottom style="medium">
        <color indexed="64"/>
      </bottom>
      <diagonal/>
    </border>
    <border>
      <left/>
      <right/>
      <top style="medium">
        <color indexed="64"/>
      </top>
      <bottom style="thin">
        <color indexed="64"/>
      </bottom>
      <diagonal/>
    </border>
    <border>
      <left/>
      <right/>
      <top style="double">
        <color indexed="64"/>
      </top>
      <bottom style="thin">
        <color indexed="64"/>
      </bottom>
      <diagonal/>
    </border>
    <border>
      <left/>
      <right/>
      <top style="thin">
        <color indexed="64"/>
      </top>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style="medium">
        <color indexed="64"/>
      </top>
      <bottom/>
      <diagonal/>
    </border>
    <border>
      <left/>
      <right/>
      <top style="double">
        <color indexed="64"/>
      </top>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medium">
        <color indexed="64"/>
      </top>
      <bottom style="hair">
        <color indexed="64"/>
      </bottom>
      <diagonal/>
    </border>
    <border>
      <left style="thin">
        <color indexed="64"/>
      </left>
      <right/>
      <top style="hair">
        <color indexed="64"/>
      </top>
      <bottom style="hair">
        <color indexed="64"/>
      </bottom>
      <diagonal/>
    </border>
    <border>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right style="medium">
        <color indexed="64"/>
      </right>
      <top/>
      <bottom/>
      <diagonal/>
    </border>
    <border>
      <left style="thin">
        <color indexed="64"/>
      </left>
      <right/>
      <top style="medium">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style="medium">
        <color indexed="64"/>
      </left>
      <right style="medium">
        <color indexed="64"/>
      </right>
      <top style="double">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medium">
        <color indexed="64"/>
      </left>
      <right/>
      <top style="medium">
        <color indexed="64"/>
      </top>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right style="medium">
        <color indexed="64"/>
      </right>
      <top style="hair">
        <color indexed="64"/>
      </top>
      <bottom style="hair">
        <color indexed="64"/>
      </bottom>
      <diagonal/>
    </border>
    <border>
      <left/>
      <right style="medium">
        <color indexed="64"/>
      </right>
      <top style="medium">
        <color indexed="64"/>
      </top>
      <bottom style="hair">
        <color indexed="64"/>
      </bottom>
      <diagonal/>
    </border>
    <border>
      <left/>
      <right style="medium">
        <color indexed="64"/>
      </right>
      <top style="double">
        <color indexed="64"/>
      </top>
      <bottom style="thin">
        <color indexed="64"/>
      </bottom>
      <diagonal/>
    </border>
    <border>
      <left/>
      <right style="medium">
        <color indexed="64"/>
      </right>
      <top style="medium">
        <color indexed="64"/>
      </top>
      <bottom style="double">
        <color indexed="64"/>
      </bottom>
      <diagonal/>
    </border>
    <border>
      <left style="thin">
        <color indexed="64"/>
      </left>
      <right style="medium">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right style="medium">
        <color indexed="64"/>
      </right>
      <top style="double">
        <color indexed="64"/>
      </top>
      <bottom/>
      <diagonal/>
    </border>
    <border>
      <left style="thin">
        <color indexed="64"/>
      </left>
      <right style="medium">
        <color indexed="64"/>
      </right>
      <top style="double">
        <color indexed="64"/>
      </top>
      <bottom/>
      <diagonal/>
    </border>
    <border>
      <left style="thin">
        <color indexed="64"/>
      </left>
      <right style="medium">
        <color indexed="64"/>
      </right>
      <top style="medium">
        <color indexed="64"/>
      </top>
      <bottom style="double">
        <color indexed="64"/>
      </bottom>
      <diagonal/>
    </border>
    <border>
      <left style="medium">
        <color indexed="64"/>
      </left>
      <right/>
      <top style="double">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ck">
        <color theme="1" tint="0.499984740745262"/>
      </top>
      <bottom style="medium">
        <color indexed="64"/>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ck">
        <color theme="1" tint="0.499984740745262"/>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medium">
        <color indexed="64"/>
      </top>
      <bottom style="double">
        <color indexed="64"/>
      </bottom>
      <diagonal/>
    </border>
    <border>
      <left/>
      <right/>
      <top style="thick">
        <color theme="1" tint="0.499984740745262"/>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top/>
      <bottom/>
      <diagonal/>
    </border>
    <border>
      <left style="medium">
        <color indexed="64"/>
      </left>
      <right style="thin">
        <color indexed="64"/>
      </right>
      <top/>
      <bottom/>
      <diagonal/>
    </border>
    <border>
      <left/>
      <right/>
      <top style="hair">
        <color indexed="64"/>
      </top>
      <bottom/>
      <diagonal/>
    </border>
    <border>
      <left/>
      <right style="medium">
        <color indexed="64"/>
      </right>
      <top style="hair">
        <color indexed="64"/>
      </top>
      <bottom/>
      <diagonal/>
    </border>
    <border>
      <left style="medium">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thin">
        <color rgb="00D9D9D9"/>
      </left>
      <right style="thin">
        <color rgb="00D9D9D9"/>
      </right>
      <top style="thin">
        <color rgb="00D9D9D9"/>
      </top>
      <bottom style="thin">
        <color rgb="00D9D9D9"/>
      </bottom>
    </border>
  </borders>
  <cellStyleXfs count="9">
    <xf numFmtId="0" fontId="0" fillId="0" borderId="0" applyAlignment="1">
      <alignment vertical="center"/>
    </xf>
    <xf numFmtId="41" fontId="6" fillId="0" borderId="0" applyAlignment="1">
      <alignment vertical="center"/>
    </xf>
    <xf numFmtId="0" fontId="2" fillId="2" borderId="0" applyAlignment="1">
      <alignment vertical="center"/>
    </xf>
    <xf numFmtId="0" fontId="3" fillId="3" borderId="0" applyAlignment="1">
      <alignment vertical="center"/>
    </xf>
    <xf numFmtId="9" fontId="6" fillId="0" borderId="0" applyAlignment="1">
      <alignment vertical="center"/>
    </xf>
    <xf numFmtId="0" fontId="6" fillId="0" borderId="0" applyAlignment="1">
      <alignment vertical="center"/>
    </xf>
    <xf numFmtId="170" fontId="7" fillId="0" borderId="52" applyAlignment="1">
      <alignment horizontal="center" vertical="center"/>
    </xf>
    <xf numFmtId="0" fontId="1" fillId="0" borderId="0" applyAlignment="1">
      <alignment vertical="center"/>
    </xf>
    <xf numFmtId="41" fontId="6" fillId="0" borderId="0" applyAlignment="1">
      <alignment vertical="center"/>
    </xf>
  </cellStyleXfs>
  <cellXfs count="460">
    <xf numFmtId="0" fontId="0" fillId="0" borderId="0" applyAlignment="1" pivotButton="0" quotePrefix="0" xfId="0">
      <alignment vertical="center"/>
    </xf>
    <xf numFmtId="0" fontId="11" fillId="0" borderId="0" applyAlignment="1" pivotButton="0" quotePrefix="0" xfId="0">
      <alignment vertical="center"/>
    </xf>
    <xf numFmtId="164" fontId="11" fillId="0" borderId="0" applyAlignment="1" pivotButton="0" quotePrefix="0" xfId="1">
      <alignment vertical="center"/>
    </xf>
    <xf numFmtId="165" fontId="11" fillId="0" borderId="0" applyAlignment="1" pivotButton="0" quotePrefix="0" xfId="0">
      <alignment vertical="center"/>
    </xf>
    <xf numFmtId="9" fontId="11" fillId="0" borderId="0" applyAlignment="1" pivotButton="0" quotePrefix="0" xfId="0">
      <alignment vertical="center"/>
    </xf>
    <xf numFmtId="164" fontId="11" fillId="0" borderId="0" applyAlignment="1" pivotButton="0" quotePrefix="0" xfId="0">
      <alignment vertical="center"/>
    </xf>
    <xf numFmtId="0" fontId="11" fillId="4" borderId="0" applyAlignment="1" pivotButton="0" quotePrefix="0" xfId="0">
      <alignment vertical="center"/>
    </xf>
    <xf numFmtId="0" fontId="11" fillId="4"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4" borderId="0" applyAlignment="1" pivotButton="0" quotePrefix="0" xfId="0">
      <alignment vertical="center"/>
    </xf>
    <xf numFmtId="0" fontId="13" fillId="0" borderId="0" applyAlignment="1" pivotButton="0" quotePrefix="0" xfId="0">
      <alignment vertical="center"/>
    </xf>
    <xf numFmtId="166" fontId="10" fillId="0" borderId="0" applyAlignment="1" pivotButton="0" quotePrefix="0" xfId="0">
      <alignment vertical="center"/>
    </xf>
    <xf numFmtId="167" fontId="10" fillId="0" borderId="0" applyAlignment="1" pivotButton="0" quotePrefix="0" xfId="0">
      <alignment vertical="center"/>
    </xf>
    <xf numFmtId="0" fontId="10" fillId="0" borderId="0" applyAlignment="1" pivotButton="0" quotePrefix="0" xfId="0">
      <alignment vertical="center"/>
    </xf>
    <xf numFmtId="166" fontId="10" fillId="7" borderId="0" applyAlignment="1" pivotButton="0" quotePrefix="0" xfId="0">
      <alignment vertical="center"/>
    </xf>
    <xf numFmtId="166" fontId="15" fillId="0" borderId="0" applyAlignment="1" pivotButton="0" quotePrefix="0" xfId="0">
      <alignment vertical="center"/>
    </xf>
    <xf numFmtId="14" fontId="10" fillId="0" borderId="0" applyAlignment="1" pivotButton="0" quotePrefix="0" xfId="0">
      <alignment vertical="center"/>
    </xf>
    <xf numFmtId="168" fontId="10" fillId="0" borderId="0" applyAlignment="1" pivotButton="0" quotePrefix="0" xfId="0">
      <alignment vertical="center"/>
    </xf>
    <xf numFmtId="0" fontId="16" fillId="12" borderId="80" applyAlignment="1" pivotButton="0" quotePrefix="0" xfId="7">
      <alignment vertical="center" wrapText="1"/>
    </xf>
    <xf numFmtId="164" fontId="4" fillId="0" borderId="0" applyAlignment="1" pivotButton="0" quotePrefix="0" xfId="1">
      <alignment vertical="center"/>
    </xf>
    <xf numFmtId="0" fontId="16" fillId="12" borderId="84" applyAlignment="1" pivotButton="0" quotePrefix="0" xfId="7">
      <alignment vertical="center" wrapText="1"/>
    </xf>
    <xf numFmtId="0" fontId="10" fillId="5" borderId="85" applyAlignment="1" pivotButton="0" quotePrefix="0" xfId="0">
      <alignment horizontal="center" vertical="center"/>
    </xf>
    <xf numFmtId="14" fontId="10" fillId="0" borderId="87" applyAlignment="1" pivotButton="0" quotePrefix="0" xfId="0">
      <alignment horizontal="center" vertical="center"/>
    </xf>
    <xf numFmtId="168" fontId="10" fillId="0" borderId="88" applyAlignment="1" pivotButton="0" quotePrefix="0" xfId="0">
      <alignment horizontal="center" vertical="center"/>
    </xf>
    <xf numFmtId="169" fontId="10" fillId="0" borderId="88" applyAlignment="1" pivotButton="0" quotePrefix="0" xfId="0">
      <alignment horizontal="center" vertical="center"/>
    </xf>
    <xf numFmtId="170" fontId="10" fillId="8" borderId="76" applyAlignment="1" pivotButton="0" quotePrefix="0" xfId="0">
      <alignment horizontal="center" vertical="center"/>
    </xf>
    <xf numFmtId="170" fontId="10" fillId="8" borderId="89" applyAlignment="1" pivotButton="0" quotePrefix="0" xfId="0">
      <alignment horizontal="center" vertical="center"/>
    </xf>
    <xf numFmtId="170" fontId="9" fillId="8" borderId="89" applyAlignment="1" pivotButton="0" quotePrefix="0" xfId="0">
      <alignment horizontal="center" vertical="center"/>
    </xf>
    <xf numFmtId="170" fontId="9" fillId="8" borderId="77" applyAlignment="1" pivotButton="0" quotePrefix="0" xfId="0">
      <alignment horizontal="center" vertical="center"/>
    </xf>
    <xf numFmtId="170" fontId="9" fillId="0" borderId="90" applyAlignment="1" pivotButton="0" quotePrefix="0" xfId="0">
      <alignment horizontal="center" vertical="center"/>
    </xf>
    <xf numFmtId="170" fontId="9" fillId="0" borderId="77" applyAlignment="1" pivotButton="0" quotePrefix="0" xfId="0">
      <alignment horizontal="center" vertical="center"/>
    </xf>
    <xf numFmtId="170" fontId="9" fillId="8" borderId="90" applyAlignment="1" pivotButton="0" quotePrefix="0" xfId="0">
      <alignment horizontal="center" vertical="center"/>
    </xf>
    <xf numFmtId="170" fontId="9" fillId="0" borderId="89" applyAlignment="1" pivotButton="0" quotePrefix="0" xfId="0">
      <alignment horizontal="center" vertical="center"/>
    </xf>
    <xf numFmtId="170" fontId="9" fillId="8" borderId="18" applyAlignment="1" pivotButton="0" quotePrefix="0" xfId="0">
      <alignment horizontal="center" vertical="center"/>
    </xf>
    <xf numFmtId="170" fontId="9" fillId="0" borderId="53" applyAlignment="1" pivotButton="0" quotePrefix="0" xfId="0">
      <alignment horizontal="center" vertical="center"/>
    </xf>
    <xf numFmtId="170" fontId="10" fillId="8" borderId="91" applyAlignment="1" pivotButton="0" quotePrefix="0" xfId="0">
      <alignment horizontal="center" vertical="center"/>
    </xf>
    <xf numFmtId="167" fontId="14" fillId="0" borderId="76" applyAlignment="1" pivotButton="0" quotePrefix="0" xfId="1">
      <alignment horizontal="center" vertical="center"/>
    </xf>
    <xf numFmtId="0" fontId="11" fillId="12" borderId="18" applyAlignment="1" pivotButton="0" quotePrefix="0" xfId="0">
      <alignment vertical="center"/>
    </xf>
    <xf numFmtId="0" fontId="17" fillId="5" borderId="58" applyAlignment="1" pivotButton="0" quotePrefix="0" xfId="0">
      <alignment horizontal="center" vertical="center"/>
    </xf>
    <xf numFmtId="0" fontId="17" fillId="5" borderId="7" applyAlignment="1" pivotButton="0" quotePrefix="0" xfId="0">
      <alignment horizontal="center" vertical="center"/>
    </xf>
    <xf numFmtId="0" fontId="17" fillId="5" borderId="12" applyAlignment="1" pivotButton="0" quotePrefix="0" xfId="0">
      <alignment horizontal="center" vertical="center"/>
    </xf>
    <xf numFmtId="0" fontId="17" fillId="6" borderId="12" applyAlignment="1" pivotButton="0" quotePrefix="0" xfId="0">
      <alignment horizontal="center" vertical="center"/>
    </xf>
    <xf numFmtId="0" fontId="17" fillId="6" borderId="7" applyAlignment="1" pivotButton="0" quotePrefix="0" xfId="0">
      <alignment horizontal="center" vertical="center"/>
    </xf>
    <xf numFmtId="14" fontId="17" fillId="0" borderId="54" applyAlignment="1" pivotButton="0" quotePrefix="0" xfId="0">
      <alignment horizontal="center" vertical="center"/>
    </xf>
    <xf numFmtId="14" fontId="17" fillId="0" borderId="38" applyAlignment="1" pivotButton="0" quotePrefix="0" xfId="0">
      <alignment horizontal="center" vertical="center"/>
    </xf>
    <xf numFmtId="14" fontId="17" fillId="0" borderId="36" applyAlignment="1" pivotButton="0" quotePrefix="0" xfId="0">
      <alignment horizontal="center" vertical="center"/>
    </xf>
    <xf numFmtId="14" fontId="21" fillId="5" borderId="39" applyAlignment="1" pivotButton="0" quotePrefix="0" xfId="0">
      <alignment horizontal="center" vertical="center" wrapText="1"/>
    </xf>
    <xf numFmtId="14" fontId="21" fillId="6" borderId="63" applyAlignment="1" pivotButton="0" quotePrefix="0" xfId="0">
      <alignment horizontal="center" vertical="center" wrapText="1"/>
    </xf>
    <xf numFmtId="168" fontId="17" fillId="0" borderId="34" applyAlignment="1" pivotButton="0" quotePrefix="0" xfId="0">
      <alignment horizontal="center" vertical="center"/>
    </xf>
    <xf numFmtId="168" fontId="17" fillId="0" borderId="35" applyAlignment="1" pivotButton="0" quotePrefix="0" xfId="0">
      <alignment horizontal="center" vertical="center"/>
    </xf>
    <xf numFmtId="168" fontId="17" fillId="0" borderId="37" applyAlignment="1" pivotButton="0" quotePrefix="0" xfId="0">
      <alignment horizontal="center" vertical="center"/>
    </xf>
    <xf numFmtId="168" fontId="21" fillId="5" borderId="40" applyAlignment="1" pivotButton="0" quotePrefix="0" xfId="0">
      <alignment horizontal="center" vertical="center" wrapText="1"/>
    </xf>
    <xf numFmtId="168" fontId="21" fillId="6" borderId="62" applyAlignment="1" pivotButton="0" quotePrefix="0" xfId="0">
      <alignment horizontal="center" vertical="center" wrapText="1"/>
    </xf>
    <xf numFmtId="169" fontId="17" fillId="0" borderId="34" applyAlignment="1" pivotButton="0" quotePrefix="0" xfId="0">
      <alignment horizontal="center" vertical="center"/>
    </xf>
    <xf numFmtId="169" fontId="17" fillId="0" borderId="35" applyAlignment="1" pivotButton="0" quotePrefix="0" xfId="0">
      <alignment horizontal="center" vertical="center"/>
    </xf>
    <xf numFmtId="169" fontId="17" fillId="0" borderId="37" applyAlignment="1" pivotButton="0" quotePrefix="0" xfId="0">
      <alignment horizontal="center" vertical="center"/>
    </xf>
    <xf numFmtId="170" fontId="17" fillId="8" borderId="43" applyAlignment="1" pivotButton="0" quotePrefix="0" xfId="0">
      <alignment horizontal="center" vertical="center"/>
    </xf>
    <xf numFmtId="170" fontId="17" fillId="8" borderId="33" applyAlignment="1" pivotButton="0" quotePrefix="0" xfId="0">
      <alignment horizontal="center" vertical="center"/>
    </xf>
    <xf numFmtId="170" fontId="17" fillId="8" borderId="44" applyAlignment="1" pivotButton="0" quotePrefix="0" xfId="0">
      <alignment horizontal="center" vertical="center"/>
    </xf>
    <xf numFmtId="170" fontId="17" fillId="8" borderId="74" applyAlignment="1" pivotButton="0" quotePrefix="0" xfId="0">
      <alignment horizontal="center" vertical="center"/>
    </xf>
    <xf numFmtId="170" fontId="22" fillId="9" borderId="24" applyAlignment="1" pivotButton="0" quotePrefix="0" xfId="0">
      <alignment horizontal="center" vertical="center" wrapText="1"/>
    </xf>
    <xf numFmtId="170" fontId="22" fillId="10" borderId="73" applyAlignment="1" pivotButton="0" quotePrefix="0" xfId="0">
      <alignment horizontal="center" vertical="center" wrapText="1"/>
    </xf>
    <xf numFmtId="170" fontId="19" fillId="8" borderId="44" applyAlignment="1" pivotButton="0" quotePrefix="0" xfId="0">
      <alignment horizontal="center" vertical="center"/>
    </xf>
    <xf numFmtId="170" fontId="19" fillId="8" borderId="43" applyAlignment="1" pivotButton="0" quotePrefix="0" xfId="0">
      <alignment horizontal="center" vertical="center"/>
    </xf>
    <xf numFmtId="170" fontId="17" fillId="8" borderId="1" applyAlignment="1" pivotButton="0" quotePrefix="0" xfId="0">
      <alignment horizontal="center" vertical="center"/>
    </xf>
    <xf numFmtId="170" fontId="17" fillId="8" borderId="66" applyAlignment="1" pivotButton="0" quotePrefix="0" xfId="0">
      <alignment horizontal="center" vertical="center"/>
    </xf>
    <xf numFmtId="170" fontId="23" fillId="5" borderId="10" applyAlignment="1" pivotButton="0" quotePrefix="0" xfId="0">
      <alignment horizontal="center" vertical="center" wrapText="1"/>
    </xf>
    <xf numFmtId="170" fontId="23" fillId="6" borderId="82" applyAlignment="1" pivotButton="0" quotePrefix="0" xfId="0">
      <alignment horizontal="center" vertical="center" wrapText="1"/>
    </xf>
    <xf numFmtId="170" fontId="19" fillId="8" borderId="1" applyAlignment="1" pivotButton="0" quotePrefix="0" xfId="0">
      <alignment horizontal="center" vertical="center"/>
    </xf>
    <xf numFmtId="170" fontId="19" fillId="8" borderId="66" applyAlignment="1" pivotButton="0" quotePrefix="0" xfId="0">
      <alignment horizontal="center" vertical="center"/>
    </xf>
    <xf numFmtId="170" fontId="19" fillId="8" borderId="2" applyAlignment="1" pivotButton="0" quotePrefix="0" xfId="0">
      <alignment horizontal="center" vertical="center"/>
    </xf>
    <xf numFmtId="170" fontId="17" fillId="8" borderId="2" applyAlignment="1" pivotButton="0" quotePrefix="0" xfId="0">
      <alignment horizontal="center" vertical="center"/>
    </xf>
    <xf numFmtId="170" fontId="17" fillId="8" borderId="79" applyAlignment="1" pivotButton="0" quotePrefix="0" xfId="0">
      <alignment horizontal="center" vertical="center"/>
    </xf>
    <xf numFmtId="170" fontId="23" fillId="5" borderId="5" applyAlignment="1" pivotButton="0" quotePrefix="0" xfId="0">
      <alignment horizontal="center" vertical="center" wrapText="1"/>
    </xf>
    <xf numFmtId="170" fontId="23" fillId="6" borderId="51" applyAlignment="1" pivotButton="0" quotePrefix="0" xfId="0">
      <alignment horizontal="center" vertical="center" wrapText="1"/>
    </xf>
    <xf numFmtId="170" fontId="19" fillId="8" borderId="79" applyAlignment="1" pivotButton="0" quotePrefix="0" xfId="0">
      <alignment horizontal="center" vertical="center"/>
    </xf>
    <xf numFmtId="170" fontId="19" fillId="0" borderId="21" applyAlignment="1" pivotButton="0" quotePrefix="0" xfId="0">
      <alignment horizontal="center" vertical="center"/>
    </xf>
    <xf numFmtId="170" fontId="17" fillId="0" borderId="21" applyAlignment="1" pivotButton="0" quotePrefix="0" xfId="0">
      <alignment horizontal="center" vertical="center"/>
    </xf>
    <xf numFmtId="170" fontId="17" fillId="0" borderId="71" applyAlignment="1" pivotButton="0" quotePrefix="0" xfId="0">
      <alignment horizontal="center" vertical="center"/>
    </xf>
    <xf numFmtId="170" fontId="23" fillId="5" borderId="20" applyAlignment="1" pivotButton="0" quotePrefix="0" xfId="0">
      <alignment horizontal="center" vertical="center" wrapText="1"/>
    </xf>
    <xf numFmtId="170" fontId="23" fillId="6" borderId="83" applyAlignment="1" pivotButton="0" quotePrefix="0" xfId="0">
      <alignment horizontal="center" vertical="center" wrapText="1"/>
    </xf>
    <xf numFmtId="170" fontId="19" fillId="0" borderId="71" applyAlignment="1" pivotButton="0" quotePrefix="0" xfId="0">
      <alignment horizontal="center" vertical="center"/>
    </xf>
    <xf numFmtId="170" fontId="19" fillId="0" borderId="2" applyAlignment="1" pivotButton="0" quotePrefix="0" xfId="0">
      <alignment horizontal="center" vertical="center"/>
    </xf>
    <xf numFmtId="170" fontId="17" fillId="0" borderId="2" applyAlignment="1" pivotButton="0" quotePrefix="0" xfId="0">
      <alignment horizontal="center" vertical="center"/>
    </xf>
    <xf numFmtId="170" fontId="17" fillId="0" borderId="79" applyAlignment="1" pivotButton="0" quotePrefix="0" xfId="0">
      <alignment horizontal="center" vertical="center"/>
    </xf>
    <xf numFmtId="170" fontId="19" fillId="0" borderId="79" applyAlignment="1" pivotButton="0" quotePrefix="0" xfId="0">
      <alignment horizontal="center" vertical="center"/>
    </xf>
    <xf numFmtId="170" fontId="19" fillId="8" borderId="21" applyAlignment="1" pivotButton="0" quotePrefix="0" xfId="0">
      <alignment horizontal="center" vertical="center"/>
    </xf>
    <xf numFmtId="170" fontId="23" fillId="8" borderId="21" applyAlignment="1" pivotButton="0" quotePrefix="0" xfId="0">
      <alignment horizontal="center" vertical="center"/>
    </xf>
    <xf numFmtId="170" fontId="17" fillId="8" borderId="21" applyAlignment="1" pivotButton="0" quotePrefix="0" xfId="0">
      <alignment horizontal="center" vertical="center"/>
    </xf>
    <xf numFmtId="170" fontId="23" fillId="8" borderId="71" applyAlignment="1" pivotButton="0" quotePrefix="0" xfId="0">
      <alignment horizontal="center" vertical="center"/>
    </xf>
    <xf numFmtId="170" fontId="22" fillId="9" borderId="20" applyAlignment="1" pivotButton="0" quotePrefix="0" xfId="0">
      <alignment horizontal="center" vertical="center" wrapText="1"/>
    </xf>
    <xf numFmtId="170" fontId="22" fillId="10" borderId="83" applyAlignment="1" pivotButton="0" quotePrefix="0" xfId="0">
      <alignment horizontal="center" vertical="center" wrapText="1"/>
    </xf>
    <xf numFmtId="170" fontId="19" fillId="8" borderId="71" applyAlignment="1" pivotButton="0" quotePrefix="0" xfId="0">
      <alignment horizontal="center" vertical="center"/>
    </xf>
    <xf numFmtId="170" fontId="23" fillId="8" borderId="1" applyAlignment="1" pivotButton="0" quotePrefix="0" xfId="0">
      <alignment horizontal="center" vertical="center"/>
    </xf>
    <xf numFmtId="170" fontId="23" fillId="8" borderId="66" applyAlignment="1" pivotButton="0" quotePrefix="0" xfId="0">
      <alignment horizontal="center" vertical="center"/>
    </xf>
    <xf numFmtId="170" fontId="23" fillId="8" borderId="2" applyAlignment="1" pivotButton="0" quotePrefix="0" xfId="0">
      <alignment horizontal="center" vertical="center"/>
    </xf>
    <xf numFmtId="170" fontId="23" fillId="8" borderId="79" applyAlignment="1" pivotButton="0" quotePrefix="0" xfId="0">
      <alignment horizontal="center" vertical="center"/>
    </xf>
    <xf numFmtId="170" fontId="19" fillId="0" borderId="1" applyAlignment="1" pivotButton="0" quotePrefix="0" xfId="0">
      <alignment horizontal="center" vertical="center"/>
    </xf>
    <xf numFmtId="170" fontId="17" fillId="0" borderId="1" applyAlignment="1" pivotButton="0" quotePrefix="0" xfId="0">
      <alignment horizontal="center" vertical="center"/>
    </xf>
    <xf numFmtId="170" fontId="17" fillId="0" borderId="66" applyAlignment="1" pivotButton="0" quotePrefix="0" xfId="0">
      <alignment horizontal="center" vertical="center"/>
    </xf>
    <xf numFmtId="170" fontId="19" fillId="0" borderId="66" applyAlignment="1" pivotButton="0" quotePrefix="0" xfId="0">
      <alignment horizontal="center" vertical="center"/>
    </xf>
    <xf numFmtId="170" fontId="17" fillId="8" borderId="71" applyAlignment="1" pivotButton="0" quotePrefix="0" xfId="0">
      <alignment horizontal="center" vertical="center"/>
    </xf>
    <xf numFmtId="170" fontId="19" fillId="5" borderId="10" applyAlignment="1" pivotButton="0" quotePrefix="0" xfId="0">
      <alignment horizontal="center" vertical="center" wrapText="1"/>
    </xf>
    <xf numFmtId="170" fontId="19" fillId="6" borderId="82" applyAlignment="1" pivotButton="0" quotePrefix="0" xfId="0">
      <alignment horizontal="center" vertical="center" wrapText="1"/>
    </xf>
    <xf numFmtId="170" fontId="19" fillId="5" borderId="5" applyAlignment="1" pivotButton="0" quotePrefix="0" xfId="0">
      <alignment horizontal="center" vertical="center" wrapText="1"/>
    </xf>
    <xf numFmtId="170" fontId="19" fillId="6" borderId="51" applyAlignment="1" pivotButton="0" quotePrefix="0" xfId="0">
      <alignment horizontal="center" vertical="center" wrapText="1"/>
    </xf>
    <xf numFmtId="170" fontId="17" fillId="8" borderId="13" applyAlignment="1" pivotButton="0" quotePrefix="0" xfId="0">
      <alignment horizontal="center" vertical="center"/>
    </xf>
    <xf numFmtId="170" fontId="17" fillId="8" borderId="19" applyAlignment="1" pivotButton="0" quotePrefix="0" xfId="0">
      <alignment horizontal="center" vertical="center"/>
    </xf>
    <xf numFmtId="170" fontId="17" fillId="8" borderId="14" applyAlignment="1" pivotButton="0" quotePrefix="0" xfId="0">
      <alignment horizontal="center" vertical="center"/>
    </xf>
    <xf numFmtId="170" fontId="17" fillId="8" borderId="70" applyAlignment="1" pivotButton="0" quotePrefix="0" xfId="0">
      <alignment horizontal="center" vertical="center"/>
    </xf>
    <xf numFmtId="170" fontId="23" fillId="5" borderId="6" applyAlignment="1" pivotButton="0" quotePrefix="0" xfId="0">
      <alignment horizontal="center" vertical="center" wrapText="1"/>
    </xf>
    <xf numFmtId="170" fontId="19" fillId="8" borderId="3" applyAlignment="1" pivotButton="0" quotePrefix="0" xfId="0">
      <alignment horizontal="center" vertical="center"/>
    </xf>
    <xf numFmtId="170" fontId="19" fillId="0" borderId="32" applyAlignment="1" pivotButton="0" quotePrefix="0" xfId="0">
      <alignment horizontal="center" vertical="center"/>
    </xf>
    <xf numFmtId="170" fontId="17" fillId="0" borderId="32" applyAlignment="1" pivotButton="0" quotePrefix="0" xfId="0">
      <alignment horizontal="center" vertical="center"/>
    </xf>
    <xf numFmtId="170" fontId="17" fillId="0" borderId="31" applyAlignment="1" pivotButton="0" quotePrefix="0" xfId="0">
      <alignment horizontal="center" vertical="center"/>
    </xf>
    <xf numFmtId="170" fontId="17" fillId="0" borderId="42" applyAlignment="1" pivotButton="0" quotePrefix="0" xfId="0">
      <alignment horizontal="center" vertical="center"/>
    </xf>
    <xf numFmtId="170" fontId="17" fillId="0" borderId="72" applyAlignment="1" pivotButton="0" quotePrefix="0" xfId="0">
      <alignment horizontal="center" vertical="center"/>
    </xf>
    <xf numFmtId="170" fontId="23" fillId="5" borderId="49" applyAlignment="1" pivotButton="0" quotePrefix="0" xfId="0">
      <alignment horizontal="center" vertical="center" wrapText="1"/>
    </xf>
    <xf numFmtId="170" fontId="23" fillId="6" borderId="68" applyAlignment="1" pivotButton="0" quotePrefix="0" xfId="0">
      <alignment horizontal="center" vertical="center" wrapText="1"/>
    </xf>
    <xf numFmtId="170" fontId="19" fillId="0" borderId="42" applyAlignment="1" pivotButton="0" quotePrefix="0" xfId="0">
      <alignment horizontal="center" vertical="center"/>
    </xf>
    <xf numFmtId="170" fontId="17" fillId="8" borderId="55" applyAlignment="1" pivotButton="0" quotePrefix="0" xfId="0">
      <alignment horizontal="center" vertical="center"/>
    </xf>
    <xf numFmtId="170" fontId="17" fillId="8" borderId="46" applyAlignment="1" pivotButton="0" quotePrefix="0" xfId="0">
      <alignment horizontal="center" vertical="center"/>
    </xf>
    <xf numFmtId="170" fontId="17" fillId="8" borderId="45" applyAlignment="1" pivotButton="0" quotePrefix="0" xfId="0">
      <alignment horizontal="center" vertical="center"/>
    </xf>
    <xf numFmtId="170" fontId="17" fillId="8" borderId="75" applyAlignment="1" pivotButton="0" quotePrefix="0" xfId="0">
      <alignment horizontal="center" vertical="center"/>
    </xf>
    <xf numFmtId="170" fontId="17" fillId="5" borderId="65" applyAlignment="1" pivotButton="0" quotePrefix="0" xfId="0">
      <alignment horizontal="center" vertical="center" wrapText="1"/>
    </xf>
    <xf numFmtId="170" fontId="17" fillId="6" borderId="65" applyAlignment="1" pivotButton="0" quotePrefix="0" xfId="0">
      <alignment horizontal="center" vertical="center" wrapText="1"/>
    </xf>
    <xf numFmtId="170" fontId="19" fillId="8" borderId="45" applyAlignment="1" pivotButton="0" quotePrefix="0" xfId="0">
      <alignment horizontal="center" vertical="center"/>
    </xf>
    <xf numFmtId="170" fontId="19" fillId="8" borderId="55" applyAlignment="1" pivotButton="0" quotePrefix="0" xfId="0">
      <alignment horizontal="center" vertical="center"/>
    </xf>
    <xf numFmtId="167" fontId="18" fillId="0" borderId="43" applyAlignment="1" pivotButton="0" quotePrefix="0" xfId="1">
      <alignment horizontal="center" vertical="center"/>
    </xf>
    <xf numFmtId="167" fontId="18" fillId="0" borderId="33" applyAlignment="1" pivotButton="0" quotePrefix="0" xfId="1">
      <alignment horizontal="center" vertical="center"/>
    </xf>
    <xf numFmtId="167" fontId="18" fillId="0" borderId="44" applyAlignment="1" pivotButton="0" quotePrefix="0" xfId="1">
      <alignment horizontal="center" vertical="center"/>
    </xf>
    <xf numFmtId="167" fontId="18" fillId="5" borderId="24" applyAlignment="1" pivotButton="0" quotePrefix="0" xfId="1">
      <alignment horizontal="center" vertical="center" wrapText="1"/>
    </xf>
    <xf numFmtId="167" fontId="20" fillId="6" borderId="73" applyAlignment="1" pivotButton="0" quotePrefix="0" xfId="1">
      <alignment horizontal="center" vertical="center" wrapText="1"/>
    </xf>
    <xf numFmtId="167" fontId="20" fillId="0" borderId="44" applyAlignment="1" pivotButton="0" quotePrefix="0" xfId="1">
      <alignment horizontal="center" vertical="center"/>
    </xf>
    <xf numFmtId="167" fontId="20" fillId="0" borderId="43" applyAlignment="1" pivotButton="0" quotePrefix="0" xfId="1">
      <alignment horizontal="center" vertical="center"/>
    </xf>
    <xf numFmtId="166" fontId="17" fillId="5" borderId="47" applyAlignment="1" pivotButton="0" quotePrefix="0" xfId="0">
      <alignment horizontal="center" vertical="center" wrapText="1"/>
    </xf>
    <xf numFmtId="166" fontId="17" fillId="6" borderId="64" applyAlignment="1" pivotButton="0" quotePrefix="0" xfId="0">
      <alignment horizontal="center" vertical="center" wrapText="1"/>
    </xf>
    <xf numFmtId="166" fontId="17" fillId="5" borderId="5" applyAlignment="1" pivotButton="0" quotePrefix="0" xfId="0">
      <alignment horizontal="center" vertical="center" wrapText="1"/>
    </xf>
    <xf numFmtId="166" fontId="17" fillId="6" borderId="51" applyAlignment="1" pivotButton="0" quotePrefix="0" xfId="0">
      <alignment horizontal="center" vertical="center" wrapText="1"/>
    </xf>
    <xf numFmtId="166" fontId="17" fillId="5" borderId="4" applyAlignment="1" pivotButton="0" quotePrefix="0" xfId="0">
      <alignment horizontal="center" vertical="center" wrapText="1"/>
    </xf>
    <xf numFmtId="166" fontId="17" fillId="6" borderId="48" applyAlignment="1" pivotButton="0" quotePrefix="0" xfId="0">
      <alignment horizontal="center" vertical="center" wrapText="1"/>
    </xf>
    <xf numFmtId="166" fontId="17" fillId="5" borderId="6" applyAlignment="1" pivotButton="0" quotePrefix="0" xfId="0">
      <alignment horizontal="center" vertical="center" wrapText="1"/>
    </xf>
    <xf numFmtId="0" fontId="10" fillId="5" borderId="86" applyAlignment="1" pivotButton="0" quotePrefix="0" xfId="0">
      <alignment horizontal="center" vertical="center" wrapText="1"/>
    </xf>
    <xf numFmtId="0" fontId="10" fillId="5" borderId="18" applyAlignment="1" pivotButton="0" quotePrefix="0" xfId="0">
      <alignment horizontal="center" vertical="center" wrapText="1"/>
    </xf>
    <xf numFmtId="0" fontId="17" fillId="0" borderId="22" applyAlignment="1" pivotButton="0" quotePrefix="0" xfId="0">
      <alignment horizontal="center" vertical="center" wrapText="1"/>
    </xf>
    <xf numFmtId="0" fontId="17" fillId="0" borderId="25" applyAlignment="1" pivotButton="0" quotePrefix="0" xfId="0">
      <alignment horizontal="center" vertical="center" wrapText="1"/>
    </xf>
    <xf numFmtId="0" fontId="17" fillId="0" borderId="15" applyAlignment="1" pivotButton="0" quotePrefix="0" xfId="0">
      <alignment horizontal="center" vertical="center" wrapText="1"/>
    </xf>
    <xf numFmtId="166" fontId="23" fillId="0" borderId="59" applyAlignment="1" pivotButton="0" quotePrefix="0" xfId="0">
      <alignment horizontal="center" vertical="center" shrinkToFit="1"/>
    </xf>
    <xf numFmtId="166" fontId="23" fillId="0" borderId="21" applyAlignment="1" pivotButton="0" quotePrefix="0" xfId="0">
      <alignment horizontal="center" vertical="center" shrinkToFit="1"/>
    </xf>
    <xf numFmtId="166" fontId="23" fillId="0" borderId="71" applyAlignment="1" pivotButton="0" quotePrefix="0" xfId="0">
      <alignment horizontal="center" vertical="center" shrinkToFit="1"/>
    </xf>
    <xf numFmtId="166" fontId="23" fillId="0" borderId="57" applyAlignment="1" pivotButton="0" quotePrefix="0" xfId="0">
      <alignment horizontal="center" vertical="center" shrinkToFit="1"/>
    </xf>
    <xf numFmtId="166" fontId="23" fillId="0" borderId="2" applyAlignment="1" pivotButton="0" quotePrefix="0" xfId="0">
      <alignment horizontal="center" vertical="center" shrinkToFit="1"/>
    </xf>
    <xf numFmtId="166" fontId="23" fillId="0" borderId="79" applyAlignment="1" pivotButton="0" quotePrefix="0" xfId="0">
      <alignment horizontal="center" vertical="center" shrinkToFit="1"/>
    </xf>
    <xf numFmtId="0" fontId="13" fillId="4" borderId="0" applyAlignment="1" pivotButton="0" quotePrefix="0" xfId="0">
      <alignment horizontal="center" vertical="center"/>
    </xf>
    <xf numFmtId="0" fontId="10" fillId="0" borderId="76" applyAlignment="1" pivotButton="0" quotePrefix="0" xfId="0">
      <alignment horizontal="center" vertical="center" wrapText="1"/>
    </xf>
    <xf numFmtId="0" fontId="10" fillId="0" borderId="17" applyAlignment="1" pivotButton="0" quotePrefix="0" xfId="0">
      <alignment horizontal="center" vertical="center" wrapText="1"/>
    </xf>
    <xf numFmtId="0" fontId="10" fillId="0" borderId="18" applyAlignment="1" pivotButton="0" quotePrefix="0" xfId="0">
      <alignment horizontal="center" vertical="center" wrapText="1"/>
    </xf>
    <xf numFmtId="0" fontId="17" fillId="0" borderId="43" applyAlignment="1" pivotButton="0" quotePrefix="0" xfId="0">
      <alignment horizontal="center" vertical="center" wrapText="1"/>
    </xf>
    <xf numFmtId="0" fontId="17" fillId="0" borderId="9" applyAlignment="1" pivotButton="0" quotePrefix="0" xfId="0">
      <alignment horizontal="center" vertical="center" wrapText="1"/>
    </xf>
    <xf numFmtId="0" fontId="17" fillId="0" borderId="13" applyAlignment="1" pivotButton="0" quotePrefix="0" xfId="0">
      <alignment horizontal="center" vertical="center" wrapText="1"/>
    </xf>
    <xf numFmtId="0" fontId="17" fillId="5" borderId="11" applyAlignment="1" pivotButton="0" quotePrefix="0" xfId="0">
      <alignment horizontal="center" vertical="center" wrapText="1"/>
    </xf>
    <xf numFmtId="0" fontId="17" fillId="5" borderId="13" applyAlignment="1" pivotButton="0" quotePrefix="0" xfId="0">
      <alignment horizontal="center" vertical="center" wrapText="1"/>
    </xf>
    <xf numFmtId="0" fontId="17" fillId="0" borderId="74" applyAlignment="1" pivotButton="0" quotePrefix="0" xfId="0">
      <alignment horizontal="center" vertical="center" wrapText="1"/>
    </xf>
    <xf numFmtId="0" fontId="17" fillId="0" borderId="81" applyAlignment="1" pivotButton="0" quotePrefix="0" xfId="0">
      <alignment horizontal="center" vertical="center" wrapText="1"/>
    </xf>
    <xf numFmtId="0" fontId="17" fillId="0" borderId="70" applyAlignment="1" pivotButton="0" quotePrefix="0" xfId="0">
      <alignment horizontal="center" vertical="center" wrapText="1"/>
    </xf>
    <xf numFmtId="0" fontId="17" fillId="0" borderId="43" applyAlignment="1" pivotButton="0" quotePrefix="0" xfId="0">
      <alignment horizontal="center" vertical="center" wrapText="1" shrinkToFit="1"/>
    </xf>
    <xf numFmtId="0" fontId="17" fillId="0" borderId="9" applyAlignment="1" pivotButton="0" quotePrefix="0" xfId="0">
      <alignment horizontal="center" vertical="center" wrapText="1" shrinkToFit="1"/>
    </xf>
    <xf numFmtId="0" fontId="17" fillId="0" borderId="13" applyAlignment="1" pivotButton="0" quotePrefix="0" xfId="0">
      <alignment horizontal="center" vertical="center" wrapText="1" shrinkToFit="1"/>
    </xf>
    <xf numFmtId="166" fontId="23" fillId="11" borderId="76" applyAlignment="1" pivotButton="0" quotePrefix="0" xfId="0">
      <alignment horizontal="center" vertical="center" shrinkToFit="1"/>
    </xf>
    <xf numFmtId="166" fontId="23" fillId="11" borderId="33" applyAlignment="1" pivotButton="0" quotePrefix="0" xfId="0">
      <alignment horizontal="center" vertical="center" shrinkToFit="1"/>
    </xf>
    <xf numFmtId="166" fontId="23" fillId="11" borderId="73" applyAlignment="1" pivotButton="0" quotePrefix="0" xfId="0">
      <alignment horizontal="center" vertical="center" shrinkToFit="1"/>
    </xf>
    <xf numFmtId="9" fontId="23" fillId="0" borderId="57" applyAlignment="1" pivotButton="0" quotePrefix="0" xfId="4">
      <alignment horizontal="center" vertical="center" shrinkToFit="1"/>
    </xf>
    <xf numFmtId="9" fontId="23" fillId="0" borderId="2" applyAlignment="1" pivotButton="0" quotePrefix="0" xfId="4">
      <alignment horizontal="center" vertical="center" shrinkToFit="1"/>
    </xf>
    <xf numFmtId="9" fontId="23" fillId="0" borderId="79" applyAlignment="1" pivotButton="0" quotePrefix="0" xfId="4">
      <alignment horizontal="center" vertical="center" shrinkToFit="1"/>
    </xf>
    <xf numFmtId="9" fontId="23" fillId="0" borderId="59" applyAlignment="1" pivotButton="0" quotePrefix="0" xfId="4">
      <alignment horizontal="center" vertical="center" shrinkToFit="1"/>
    </xf>
    <xf numFmtId="9" fontId="23" fillId="0" borderId="21" applyAlignment="1" pivotButton="0" quotePrefix="0" xfId="4">
      <alignment horizontal="center" vertical="center" shrinkToFit="1"/>
    </xf>
    <xf numFmtId="9" fontId="23" fillId="0" borderId="71" applyAlignment="1" pivotButton="0" quotePrefix="0" xfId="4">
      <alignment horizontal="center" vertical="center" shrinkToFit="1"/>
    </xf>
    <xf numFmtId="166" fontId="23" fillId="8" borderId="56" applyAlignment="1" pivotButton="0" quotePrefix="0" xfId="0">
      <alignment horizontal="center" vertical="center" shrinkToFit="1"/>
    </xf>
    <xf numFmtId="166" fontId="23" fillId="8" borderId="1" applyAlignment="1" pivotButton="0" quotePrefix="0" xfId="0">
      <alignment horizontal="center" vertical="center" shrinkToFit="1"/>
    </xf>
    <xf numFmtId="166" fontId="23" fillId="8" borderId="66" applyAlignment="1" pivotButton="0" quotePrefix="0" xfId="0">
      <alignment horizontal="center" vertical="center" shrinkToFit="1"/>
    </xf>
    <xf numFmtId="166" fontId="23" fillId="11" borderId="59" applyAlignment="1" pivotButton="0" quotePrefix="0" xfId="0">
      <alignment horizontal="center" vertical="center" shrinkToFit="1"/>
    </xf>
    <xf numFmtId="166" fontId="23" fillId="11" borderId="21" applyAlignment="1" pivotButton="0" quotePrefix="0" xfId="0">
      <alignment horizontal="center" vertical="center" shrinkToFit="1"/>
    </xf>
    <xf numFmtId="166" fontId="23" fillId="11" borderId="71" applyAlignment="1" pivotButton="0" quotePrefix="0" xfId="0">
      <alignment horizontal="center" vertical="center" shrinkToFit="1"/>
    </xf>
    <xf numFmtId="166" fontId="23" fillId="8" borderId="57" applyAlignment="1" pivotButton="0" quotePrefix="0" xfId="0">
      <alignment horizontal="center" vertical="center" shrinkToFit="1"/>
    </xf>
    <xf numFmtId="166" fontId="23" fillId="8" borderId="2" applyAlignment="1" pivotButton="0" quotePrefix="0" xfId="0">
      <alignment horizontal="center" vertical="center" shrinkToFit="1"/>
    </xf>
    <xf numFmtId="166" fontId="23" fillId="8" borderId="79" applyAlignment="1" pivotButton="0" quotePrefix="0" xfId="0">
      <alignment horizontal="center" vertical="center" shrinkToFit="1"/>
    </xf>
    <xf numFmtId="166" fontId="23" fillId="0" borderId="56" applyAlignment="1" pivotButton="0" quotePrefix="0" xfId="0">
      <alignment horizontal="center" vertical="center" shrinkToFit="1"/>
    </xf>
    <xf numFmtId="166" fontId="23" fillId="0" borderId="1" applyAlignment="1" pivotButton="0" quotePrefix="0" xfId="0">
      <alignment horizontal="center" vertical="center" shrinkToFit="1"/>
    </xf>
    <xf numFmtId="166" fontId="23" fillId="0" borderId="66" applyAlignment="1" pivotButton="0" quotePrefix="0" xfId="0">
      <alignment horizontal="center" vertical="center" shrinkToFit="1"/>
    </xf>
    <xf numFmtId="166" fontId="19" fillId="8" borderId="56" applyAlignment="1" pivotButton="0" quotePrefix="0" xfId="0">
      <alignment horizontal="center" vertical="center" shrinkToFit="1"/>
    </xf>
    <xf numFmtId="166" fontId="19" fillId="8" borderId="1" applyAlignment="1" pivotButton="0" quotePrefix="0" xfId="0">
      <alignment horizontal="center" vertical="center" shrinkToFit="1"/>
    </xf>
    <xf numFmtId="166" fontId="19" fillId="8" borderId="66" applyAlignment="1" pivotButton="0" quotePrefix="0" xfId="0">
      <alignment horizontal="center" vertical="center" shrinkToFit="1"/>
    </xf>
    <xf numFmtId="0" fontId="17" fillId="4" borderId="53" applyAlignment="1" pivotButton="0" quotePrefix="0" xfId="0">
      <alignment horizontal="center" vertical="center" shrinkToFit="1"/>
    </xf>
    <xf numFmtId="0" fontId="17" fillId="4" borderId="31" applyAlignment="1" pivotButton="0" quotePrefix="0" xfId="0">
      <alignment horizontal="center" vertical="center" shrinkToFit="1"/>
    </xf>
    <xf numFmtId="0" fontId="17" fillId="4" borderId="49" applyAlignment="1" pivotButton="0" quotePrefix="0" xfId="0">
      <alignment horizontal="center" vertical="center" shrinkToFit="1"/>
    </xf>
    <xf numFmtId="0" fontId="17" fillId="4" borderId="17" applyAlignment="1" pivotButton="0" quotePrefix="0" xfId="0">
      <alignment horizontal="center" vertical="center" shrinkToFit="1"/>
    </xf>
    <xf numFmtId="0" fontId="17" fillId="4" borderId="0" applyAlignment="1" pivotButton="0" quotePrefix="0" xfId="0">
      <alignment horizontal="center" vertical="center" shrinkToFit="1"/>
    </xf>
    <xf numFmtId="0" fontId="17" fillId="4" borderId="41" applyAlignment="1" pivotButton="0" quotePrefix="0" xfId="0">
      <alignment horizontal="center" vertical="center" shrinkToFit="1"/>
    </xf>
    <xf numFmtId="0" fontId="17" fillId="4" borderId="18" applyAlignment="1" pivotButton="0" quotePrefix="0" xfId="0">
      <alignment horizontal="center" vertical="center" shrinkToFit="1"/>
    </xf>
    <xf numFmtId="0" fontId="17" fillId="4" borderId="19" applyAlignment="1" pivotButton="0" quotePrefix="0" xfId="0">
      <alignment horizontal="center" vertical="center" shrinkToFit="1"/>
    </xf>
    <xf numFmtId="0" fontId="17" fillId="4" borderId="30" applyAlignment="1" pivotButton="0" quotePrefix="0" xfId="0">
      <alignment horizontal="center" vertical="center" shrinkToFit="1"/>
    </xf>
    <xf numFmtId="0" fontId="17" fillId="6" borderId="16" applyAlignment="1" pivotButton="0" quotePrefix="0" xfId="0">
      <alignment horizontal="center" vertical="center" wrapText="1"/>
    </xf>
    <xf numFmtId="0" fontId="17" fillId="6" borderId="15" applyAlignment="1" pivotButton="0" quotePrefix="0" xfId="0">
      <alignment horizontal="center" vertical="center" wrapText="1"/>
    </xf>
    <xf numFmtId="0" fontId="17" fillId="6" borderId="11" applyAlignment="1" pivotButton="0" quotePrefix="0" xfId="0">
      <alignment horizontal="center" vertical="center" wrapText="1"/>
    </xf>
    <xf numFmtId="0" fontId="17" fillId="6" borderId="13" applyAlignment="1" pivotButton="0" quotePrefix="0" xfId="0">
      <alignment horizontal="center" vertical="center" wrapText="1"/>
    </xf>
    <xf numFmtId="0" fontId="17" fillId="5" borderId="23" applyAlignment="1" pivotButton="0" quotePrefix="0" xfId="2">
      <alignment horizontal="center" vertical="center" wrapText="1"/>
    </xf>
    <xf numFmtId="0" fontId="17" fillId="5" borderId="8" applyAlignment="1" pivotButton="0" quotePrefix="0" xfId="2">
      <alignment horizontal="center" vertical="center" wrapText="1"/>
    </xf>
    <xf numFmtId="0" fontId="17" fillId="5" borderId="6" applyAlignment="1" pivotButton="0" quotePrefix="0" xfId="2">
      <alignment horizontal="center" vertical="center" wrapText="1"/>
    </xf>
    <xf numFmtId="0" fontId="17" fillId="6" borderId="49" applyAlignment="1" pivotButton="0" quotePrefix="0" xfId="2">
      <alignment horizontal="center" vertical="center" wrapText="1"/>
    </xf>
    <xf numFmtId="0" fontId="17" fillId="6" borderId="41" applyAlignment="1" pivotButton="0" quotePrefix="0" xfId="2">
      <alignment horizontal="center" vertical="center" wrapText="1"/>
    </xf>
    <xf numFmtId="0" fontId="17" fillId="6" borderId="30" applyAlignment="1" pivotButton="0" quotePrefix="0" xfId="2">
      <alignment horizontal="center" vertical="center" wrapText="1"/>
    </xf>
    <xf numFmtId="0" fontId="17" fillId="5" borderId="69" applyAlignment="1" pivotButton="0" quotePrefix="0" xfId="0">
      <alignment horizontal="center" vertical="center" wrapText="1"/>
    </xf>
    <xf numFmtId="0" fontId="17" fillId="5" borderId="70" applyAlignment="1" pivotButton="0" quotePrefix="0" xfId="0">
      <alignment horizontal="center" vertical="center" wrapText="1"/>
    </xf>
    <xf numFmtId="0" fontId="19" fillId="11" borderId="29" applyAlignment="1" pivotButton="0" quotePrefix="0" xfId="3">
      <alignment horizontal="center" vertical="center" wrapText="1"/>
    </xf>
    <xf numFmtId="0" fontId="19" fillId="11" borderId="50" applyAlignment="1" pivotButton="0" quotePrefix="0" xfId="3">
      <alignment horizontal="center" vertical="center" wrapText="1"/>
    </xf>
    <xf numFmtId="0" fontId="19" fillId="11" borderId="19" applyAlignment="1" pivotButton="0" quotePrefix="0" xfId="3">
      <alignment horizontal="center" vertical="center" wrapText="1"/>
    </xf>
    <xf numFmtId="0" fontId="19" fillId="11" borderId="30" applyAlignment="1" pivotButton="0" quotePrefix="0" xfId="3">
      <alignment horizontal="center" vertical="center" wrapText="1"/>
    </xf>
    <xf numFmtId="0" fontId="19" fillId="11" borderId="27" applyAlignment="1" pivotButton="0" quotePrefix="0" xfId="0">
      <alignment horizontal="center" vertical="center"/>
    </xf>
    <xf numFmtId="0" fontId="19" fillId="11" borderId="48" applyAlignment="1" pivotButton="0" quotePrefix="0" xfId="0">
      <alignment horizontal="center" vertical="center"/>
    </xf>
    <xf numFmtId="166" fontId="19" fillId="8" borderId="57" applyAlignment="1" pivotButton="0" quotePrefix="0" xfId="0">
      <alignment horizontal="center" vertical="center" shrinkToFit="1"/>
    </xf>
    <xf numFmtId="166" fontId="19" fillId="8" borderId="2" applyAlignment="1" pivotButton="0" quotePrefix="0" xfId="0">
      <alignment horizontal="center" vertical="center" shrinkToFit="1"/>
    </xf>
    <xf numFmtId="166" fontId="19" fillId="8" borderId="79" applyAlignment="1" pivotButton="0" quotePrefix="0" xfId="0">
      <alignment horizontal="center" vertical="center" shrinkToFit="1"/>
    </xf>
    <xf numFmtId="166" fontId="19" fillId="0" borderId="57" applyAlignment="1" pivotButton="0" quotePrefix="0" xfId="0">
      <alignment horizontal="center" vertical="center" shrinkToFit="1"/>
    </xf>
    <xf numFmtId="166" fontId="19" fillId="0" borderId="2" applyAlignment="1" pivotButton="0" quotePrefix="0" xfId="0">
      <alignment horizontal="center" vertical="center" shrinkToFit="1"/>
    </xf>
    <xf numFmtId="166" fontId="19" fillId="0" borderId="79" applyAlignment="1" pivotButton="0" quotePrefix="0" xfId="0">
      <alignment horizontal="center" vertical="center" shrinkToFit="1"/>
    </xf>
    <xf numFmtId="166" fontId="19" fillId="0" borderId="56" applyAlignment="1" pivotButton="0" quotePrefix="0" xfId="0">
      <alignment horizontal="center" vertical="center" shrinkToFit="1"/>
    </xf>
    <xf numFmtId="166" fontId="19" fillId="0" borderId="1" applyAlignment="1" pivotButton="0" quotePrefix="0" xfId="0">
      <alignment horizontal="center" vertical="center" shrinkToFit="1"/>
    </xf>
    <xf numFmtId="166" fontId="19" fillId="0" borderId="66" applyAlignment="1" pivotButton="0" quotePrefix="0" xfId="0">
      <alignment horizontal="center" vertical="center" shrinkToFit="1"/>
    </xf>
    <xf numFmtId="166" fontId="19" fillId="11" borderId="59" applyAlignment="1" pivotButton="0" quotePrefix="0" xfId="0">
      <alignment horizontal="center" vertical="center" shrinkToFit="1"/>
    </xf>
    <xf numFmtId="166" fontId="19" fillId="11" borderId="21" applyAlignment="1" pivotButton="0" quotePrefix="0" xfId="0">
      <alignment horizontal="center" vertical="center" shrinkToFit="1"/>
    </xf>
    <xf numFmtId="166" fontId="19" fillId="11" borderId="71" applyAlignment="1" pivotButton="0" quotePrefix="0" xfId="0">
      <alignment horizontal="center" vertical="center" shrinkToFit="1"/>
    </xf>
    <xf numFmtId="14" fontId="17" fillId="0" borderId="38" applyAlignment="1" pivotButton="0" quotePrefix="0" xfId="0">
      <alignment horizontal="center" vertical="center" wrapText="1"/>
    </xf>
    <xf numFmtId="14" fontId="17" fillId="0" borderId="63" applyAlignment="1" pivotButton="0" quotePrefix="0" xfId="0">
      <alignment horizontal="center" vertical="center" wrapText="1"/>
    </xf>
    <xf numFmtId="168" fontId="17" fillId="0" borderId="35" applyAlignment="1" pivotButton="0" quotePrefix="0" xfId="0">
      <alignment horizontal="center" vertical="center" wrapText="1"/>
    </xf>
    <xf numFmtId="168" fontId="17" fillId="0" borderId="62" applyAlignment="1" pivotButton="0" quotePrefix="0" xfId="0">
      <alignment horizontal="center" vertical="center" wrapText="1"/>
    </xf>
    <xf numFmtId="0" fontId="16" fillId="12" borderId="80" applyAlignment="1" pivotButton="0" quotePrefix="0" xfId="7">
      <alignment horizontal="center" vertical="center" wrapText="1"/>
    </xf>
    <xf numFmtId="166" fontId="23" fillId="11" borderId="59" applyAlignment="1" pivotButton="0" quotePrefix="0" xfId="0">
      <alignment horizontal="center" vertical="center" wrapText="1"/>
    </xf>
    <xf numFmtId="166" fontId="23" fillId="11" borderId="21" applyAlignment="1" pivotButton="0" quotePrefix="0" xfId="0">
      <alignment horizontal="center" vertical="center" wrapText="1"/>
    </xf>
    <xf numFmtId="166" fontId="23" fillId="11" borderId="71" applyAlignment="1" pivotButton="0" quotePrefix="0" xfId="0">
      <alignment horizontal="center" vertical="center" wrapText="1"/>
    </xf>
    <xf numFmtId="166" fontId="23" fillId="8" borderId="56" applyAlignment="1" pivotButton="0" quotePrefix="0" xfId="0">
      <alignment horizontal="center" vertical="center" wrapText="1"/>
    </xf>
    <xf numFmtId="166" fontId="23" fillId="8" borderId="1" applyAlignment="1" pivotButton="0" quotePrefix="0" xfId="0">
      <alignment horizontal="center" vertical="center" wrapText="1"/>
    </xf>
    <xf numFmtId="166" fontId="23" fillId="8" borderId="66" applyAlignment="1" pivotButton="0" quotePrefix="0" xfId="0">
      <alignment horizontal="center" vertical="center" wrapText="1"/>
    </xf>
    <xf numFmtId="166" fontId="17" fillId="0" borderId="60" applyAlignment="1" pivotButton="0" quotePrefix="0" xfId="0">
      <alignment horizontal="center" vertical="center" wrapText="1"/>
    </xf>
    <xf numFmtId="166" fontId="17" fillId="0" borderId="61" applyAlignment="1" pivotButton="0" quotePrefix="0" xfId="0">
      <alignment horizontal="center" vertical="center" wrapText="1"/>
    </xf>
    <xf numFmtId="166" fontId="23" fillId="8" borderId="57" applyAlignment="1" pivotButton="0" quotePrefix="0" xfId="0">
      <alignment horizontal="center" vertical="center" wrapText="1"/>
    </xf>
    <xf numFmtId="166" fontId="23" fillId="8" borderId="2" applyAlignment="1" pivotButton="0" quotePrefix="0" xfId="0">
      <alignment horizontal="center" vertical="center" wrapText="1"/>
    </xf>
    <xf numFmtId="166" fontId="23" fillId="8" borderId="79" applyAlignment="1" pivotButton="0" quotePrefix="0" xfId="0">
      <alignment horizontal="center" vertical="center" wrapText="1"/>
    </xf>
    <xf numFmtId="166" fontId="23" fillId="0" borderId="78" applyAlignment="1" pivotButton="0" quotePrefix="0" xfId="0">
      <alignment horizontal="center" vertical="center" wrapText="1"/>
    </xf>
    <xf numFmtId="166" fontId="23" fillId="0" borderId="67" applyAlignment="1" pivotButton="0" quotePrefix="0" xfId="0">
      <alignment horizontal="center" vertical="center" wrapText="1"/>
    </xf>
    <xf numFmtId="166" fontId="23" fillId="0" borderId="68" applyAlignment="1" pivotButton="0" quotePrefix="0" xfId="0">
      <alignment horizontal="center" vertical="center" wrapText="1"/>
    </xf>
    <xf numFmtId="166" fontId="23" fillId="8" borderId="77" applyAlignment="1" pivotButton="0" quotePrefix="0" xfId="0">
      <alignment horizontal="center" vertical="center" wrapText="1"/>
    </xf>
    <xf numFmtId="166" fontId="23" fillId="8" borderId="26" applyAlignment="1" pivotButton="0" quotePrefix="0" xfId="0">
      <alignment horizontal="center" vertical="center" wrapText="1"/>
    </xf>
    <xf numFmtId="166" fontId="23" fillId="8" borderId="51" applyAlignment="1" pivotButton="0" quotePrefix="0" xfId="0">
      <alignment horizontal="center" vertical="center" wrapText="1"/>
    </xf>
    <xf numFmtId="166" fontId="17" fillId="8" borderId="46" applyAlignment="1" pivotButton="0" quotePrefix="0" xfId="0">
      <alignment horizontal="center" vertical="center" wrapText="1"/>
    </xf>
    <xf numFmtId="166" fontId="17" fillId="8" borderId="65" applyAlignment="1" pivotButton="0" quotePrefix="0" xfId="0">
      <alignment horizontal="center" vertical="center" wrapText="1"/>
    </xf>
    <xf numFmtId="166" fontId="17" fillId="0" borderId="28" applyAlignment="1" pivotButton="0" quotePrefix="0" xfId="0">
      <alignment horizontal="center" vertical="center" wrapText="1"/>
    </xf>
    <xf numFmtId="166" fontId="17" fillId="0" borderId="64" applyAlignment="1" pivotButton="0" quotePrefix="0" xfId="0">
      <alignment horizontal="center" vertical="center" wrapText="1"/>
    </xf>
    <xf numFmtId="171" fontId="20" fillId="0" borderId="26" applyAlignment="1" pivotButton="0" quotePrefix="0" xfId="0">
      <alignment horizontal="center" vertical="center" wrapText="1"/>
    </xf>
    <xf numFmtId="171" fontId="20" fillId="0" borderId="51" applyAlignment="1" pivotButton="0" quotePrefix="0" xfId="0">
      <alignment horizontal="center" vertical="center" wrapText="1"/>
    </xf>
    <xf numFmtId="0" fontId="0" fillId="0" borderId="0" pivotButton="0" quotePrefix="0" xfId="0"/>
    <xf numFmtId="0" fontId="17" fillId="5" borderId="98" applyAlignment="1" pivotButton="0" quotePrefix="0" xfId="2">
      <alignment horizontal="center" vertical="center" wrapText="1"/>
    </xf>
    <xf numFmtId="0" fontId="0" fillId="0" borderId="27" pivotButton="0" quotePrefix="0" xfId="0"/>
    <xf numFmtId="0" fontId="0" fillId="0" borderId="48" pivotButton="0" quotePrefix="0" xfId="0"/>
    <xf numFmtId="0" fontId="17" fillId="6" borderId="68" applyAlignment="1" pivotButton="0" quotePrefix="0" xfId="2">
      <alignment horizontal="center" vertical="center" wrapText="1"/>
    </xf>
    <xf numFmtId="0" fontId="10" fillId="5" borderId="77" applyAlignment="1" pivotButton="0" quotePrefix="0" xfId="0">
      <alignment horizontal="center" vertical="center" wrapText="1"/>
    </xf>
    <xf numFmtId="0" fontId="17" fillId="5" borderId="2" applyAlignment="1" pivotButton="0" quotePrefix="0" xfId="0">
      <alignment horizontal="center" vertical="center" wrapText="1"/>
    </xf>
    <xf numFmtId="0" fontId="17" fillId="5" borderId="79" applyAlignment="1" pivotButton="0" quotePrefix="0" xfId="0">
      <alignment horizontal="center" vertical="center" wrapText="1"/>
    </xf>
    <xf numFmtId="0" fontId="0" fillId="0" borderId="8" pivotButton="0" quotePrefix="0" xfId="0"/>
    <xf numFmtId="0" fontId="19" fillId="11" borderId="51" applyAlignment="1" pivotButton="0" quotePrefix="0" xfId="3">
      <alignment horizontal="center" vertical="center" wrapText="1"/>
    </xf>
    <xf numFmtId="0" fontId="0" fillId="0" borderId="29" pivotButton="0" quotePrefix="0" xfId="0"/>
    <xf numFmtId="0" fontId="0" fillId="0" borderId="50" pivotButton="0" quotePrefix="0" xfId="0"/>
    <xf numFmtId="0" fontId="0" fillId="0" borderId="41" pivotButton="0" quotePrefix="0" xfId="0"/>
    <xf numFmtId="0" fontId="17" fillId="6" borderId="97" applyAlignment="1" pivotButton="0" quotePrefix="0" xfId="0">
      <alignment horizontal="center" vertical="center" wrapText="1"/>
    </xf>
    <xf numFmtId="0" fontId="17" fillId="6" borderId="2" applyAlignment="1" pivotButton="0" quotePrefix="0" xfId="0">
      <alignment horizontal="center" vertical="center" wrapText="1"/>
    </xf>
    <xf numFmtId="0" fontId="0" fillId="0" borderId="18" pivotButton="0" quotePrefix="0" xfId="0"/>
    <xf numFmtId="0" fontId="0" fillId="0" borderId="13" pivotButton="0" quotePrefix="0" xfId="0"/>
    <xf numFmtId="0" fontId="0" fillId="0" borderId="70" pivotButton="0" quotePrefix="0" xfId="0"/>
    <xf numFmtId="0" fontId="0" fillId="0" borderId="6" pivotButton="0" quotePrefix="0" xfId="0"/>
    <xf numFmtId="0" fontId="0" fillId="0" borderId="19" pivotButton="0" quotePrefix="0" xfId="0"/>
    <xf numFmtId="0" fontId="0" fillId="0" borderId="30" pivotButton="0" quotePrefix="0" xfId="0"/>
    <xf numFmtId="0" fontId="0" fillId="0" borderId="15" pivotButton="0" quotePrefix="0" xfId="0"/>
    <xf numFmtId="0" fontId="0" fillId="0" borderId="38" pivotButton="0" quotePrefix="0" xfId="0"/>
    <xf numFmtId="0" fontId="0" fillId="0" borderId="63" pivotButton="0" quotePrefix="0" xfId="0"/>
    <xf numFmtId="168" fontId="10" fillId="0" borderId="0" applyAlignment="1" pivotButton="0" quotePrefix="0" xfId="0">
      <alignment vertical="center"/>
    </xf>
    <xf numFmtId="168" fontId="10" fillId="0" borderId="88" applyAlignment="1" pivotButton="0" quotePrefix="0" xfId="0">
      <alignment horizontal="center" vertical="center"/>
    </xf>
    <xf numFmtId="168" fontId="17" fillId="0" borderId="34" applyAlignment="1" pivotButton="0" quotePrefix="0" xfId="0">
      <alignment horizontal="center" vertical="center"/>
    </xf>
    <xf numFmtId="168" fontId="17" fillId="0" borderId="35" applyAlignment="1" pivotButton="0" quotePrefix="0" xfId="0">
      <alignment horizontal="center" vertical="center"/>
    </xf>
    <xf numFmtId="168" fontId="17" fillId="0" borderId="37" applyAlignment="1" pivotButton="0" quotePrefix="0" xfId="0">
      <alignment horizontal="center" vertical="center"/>
    </xf>
    <xf numFmtId="168" fontId="21" fillId="5" borderId="40" applyAlignment="1" pivotButton="0" quotePrefix="0" xfId="0">
      <alignment horizontal="center" vertical="center" wrapText="1"/>
    </xf>
    <xf numFmtId="168" fontId="17" fillId="0" borderId="62" applyAlignment="1" pivotButton="0" quotePrefix="0" xfId="0">
      <alignment horizontal="center" vertical="center" wrapText="1"/>
    </xf>
    <xf numFmtId="0" fontId="0" fillId="0" borderId="35" pivotButton="0" quotePrefix="0" xfId="0"/>
    <xf numFmtId="0" fontId="0" fillId="0" borderId="62" pivotButton="0" quotePrefix="0" xfId="0"/>
    <xf numFmtId="168" fontId="21" fillId="6" borderId="62" applyAlignment="1" pivotButton="0" quotePrefix="0" xfId="0">
      <alignment horizontal="center" vertical="center" wrapText="1"/>
    </xf>
    <xf numFmtId="169" fontId="10" fillId="0" borderId="88" applyAlignment="1" pivotButton="0" quotePrefix="0" xfId="0">
      <alignment horizontal="center" vertical="center"/>
    </xf>
    <xf numFmtId="169" fontId="17" fillId="0" borderId="34" applyAlignment="1" pivotButton="0" quotePrefix="0" xfId="0">
      <alignment horizontal="center" vertical="center"/>
    </xf>
    <xf numFmtId="169" fontId="17" fillId="0" borderId="35" applyAlignment="1" pivotButton="0" quotePrefix="0" xfId="0">
      <alignment horizontal="center" vertical="center"/>
    </xf>
    <xf numFmtId="169" fontId="17" fillId="0" borderId="37" applyAlignment="1" pivotButton="0" quotePrefix="0" xfId="0">
      <alignment horizontal="center" vertical="center"/>
    </xf>
    <xf numFmtId="166" fontId="10" fillId="0" borderId="0" applyAlignment="1" pivotButton="0" quotePrefix="0" xfId="0">
      <alignment vertical="center"/>
    </xf>
    <xf numFmtId="170" fontId="10" fillId="8" borderId="76" applyAlignment="1" pivotButton="0" quotePrefix="0" xfId="0">
      <alignment horizontal="center" vertical="center"/>
    </xf>
    <xf numFmtId="170" fontId="17" fillId="8" borderId="43" applyAlignment="1" pivotButton="0" quotePrefix="0" xfId="0">
      <alignment horizontal="center" vertical="center"/>
    </xf>
    <xf numFmtId="170" fontId="17" fillId="8" borderId="33" applyAlignment="1" pivotButton="0" quotePrefix="0" xfId="0">
      <alignment horizontal="center" vertical="center"/>
    </xf>
    <xf numFmtId="170" fontId="17" fillId="8" borderId="44" applyAlignment="1" pivotButton="0" quotePrefix="0" xfId="0">
      <alignment horizontal="center" vertical="center"/>
    </xf>
    <xf numFmtId="170" fontId="17" fillId="8" borderId="74" applyAlignment="1" pivotButton="0" quotePrefix="0" xfId="0">
      <alignment horizontal="center" vertical="center"/>
    </xf>
    <xf numFmtId="170" fontId="22" fillId="9" borderId="24" applyAlignment="1" pivotButton="0" quotePrefix="0" xfId="0">
      <alignment horizontal="center" vertical="center" wrapText="1"/>
    </xf>
    <xf numFmtId="166" fontId="23" fillId="11" borderId="24" applyAlignment="1" pivotButton="0" quotePrefix="0" xfId="0">
      <alignment horizontal="center" vertical="center" shrinkToFit="1"/>
    </xf>
    <xf numFmtId="0" fontId="0" fillId="0" borderId="33" pivotButton="0" quotePrefix="0" xfId="0"/>
    <xf numFmtId="0" fontId="0" fillId="0" borderId="73" pivotButton="0" quotePrefix="0" xfId="0"/>
    <xf numFmtId="170" fontId="22" fillId="10" borderId="73" applyAlignment="1" pivotButton="0" quotePrefix="0" xfId="0">
      <alignment horizontal="center" vertical="center" wrapText="1"/>
    </xf>
    <xf numFmtId="170" fontId="19" fillId="8" borderId="44" applyAlignment="1" pivotButton="0" quotePrefix="0" xfId="0">
      <alignment horizontal="center" vertical="center"/>
    </xf>
    <xf numFmtId="170" fontId="19" fillId="8" borderId="43" applyAlignment="1" pivotButton="0" quotePrefix="0" xfId="0">
      <alignment horizontal="center" vertical="center"/>
    </xf>
    <xf numFmtId="170" fontId="10" fillId="8" borderId="89" applyAlignment="1" pivotButton="0" quotePrefix="0" xfId="0">
      <alignment horizontal="center" vertical="center"/>
    </xf>
    <xf numFmtId="170" fontId="17" fillId="8" borderId="1" applyAlignment="1" pivotButton="0" quotePrefix="0" xfId="0">
      <alignment horizontal="center" vertical="center"/>
    </xf>
    <xf numFmtId="170" fontId="17" fillId="8" borderId="66" applyAlignment="1" pivotButton="0" quotePrefix="0" xfId="0">
      <alignment horizontal="center" vertical="center"/>
    </xf>
    <xf numFmtId="170" fontId="23" fillId="5" borderId="10" applyAlignment="1" pivotButton="0" quotePrefix="0" xfId="0">
      <alignment horizontal="center" vertical="center" wrapText="1"/>
    </xf>
    <xf numFmtId="166" fontId="23" fillId="8" borderId="56" applyAlignment="1" pivotButton="0" quotePrefix="0" xfId="0">
      <alignment horizontal="center" vertical="center" shrinkToFit="1"/>
    </xf>
    <xf numFmtId="0" fontId="0" fillId="0" borderId="95" pivotButton="0" quotePrefix="0" xfId="0"/>
    <xf numFmtId="0" fontId="0" fillId="0" borderId="96" pivotButton="0" quotePrefix="0" xfId="0"/>
    <xf numFmtId="170" fontId="23" fillId="6" borderId="82" applyAlignment="1" pivotButton="0" quotePrefix="0" xfId="0">
      <alignment horizontal="center" vertical="center" wrapText="1"/>
    </xf>
    <xf numFmtId="170" fontId="19" fillId="8" borderId="1" applyAlignment="1" pivotButton="0" quotePrefix="0" xfId="0">
      <alignment horizontal="center" vertical="center"/>
    </xf>
    <xf numFmtId="170" fontId="9" fillId="8" borderId="89" applyAlignment="1" pivotButton="0" quotePrefix="0" xfId="0">
      <alignment horizontal="center" vertical="center"/>
    </xf>
    <xf numFmtId="170" fontId="9" fillId="8" borderId="77" applyAlignment="1" pivotButton="0" quotePrefix="0" xfId="0">
      <alignment horizontal="center" vertical="center"/>
    </xf>
    <xf numFmtId="170" fontId="17" fillId="8" borderId="2" applyAlignment="1" pivotButton="0" quotePrefix="0" xfId="0">
      <alignment horizontal="center" vertical="center"/>
    </xf>
    <xf numFmtId="170" fontId="17" fillId="8" borderId="79" applyAlignment="1" pivotButton="0" quotePrefix="0" xfId="0">
      <alignment horizontal="center" vertical="center"/>
    </xf>
    <xf numFmtId="170" fontId="23" fillId="5" borderId="5" applyAlignment="1" pivotButton="0" quotePrefix="0" xfId="0">
      <alignment horizontal="center" vertical="center" wrapText="1"/>
    </xf>
    <xf numFmtId="166" fontId="23" fillId="8" borderId="57" applyAlignment="1" pivotButton="0" quotePrefix="0" xfId="0">
      <alignment horizontal="center" vertical="center" shrinkToFit="1"/>
    </xf>
    <xf numFmtId="0" fontId="0" fillId="0" borderId="26" pivotButton="0" quotePrefix="0" xfId="0"/>
    <xf numFmtId="0" fontId="0" fillId="0" borderId="97" pivotButton="0" quotePrefix="0" xfId="0"/>
    <xf numFmtId="170" fontId="23" fillId="6" borderId="51" applyAlignment="1" pivotButton="0" quotePrefix="0" xfId="0">
      <alignment horizontal="center" vertical="center" wrapText="1"/>
    </xf>
    <xf numFmtId="170" fontId="19" fillId="8" borderId="2" applyAlignment="1" pivotButton="0" quotePrefix="0" xfId="0">
      <alignment horizontal="center" vertical="center"/>
    </xf>
    <xf numFmtId="170" fontId="9" fillId="0" borderId="90" applyAlignment="1" pivotButton="0" quotePrefix="0" xfId="0">
      <alignment horizontal="center" vertical="center"/>
    </xf>
    <xf numFmtId="170" fontId="17" fillId="0" borderId="21" applyAlignment="1" pivotButton="0" quotePrefix="0" xfId="0">
      <alignment horizontal="center" vertical="center"/>
    </xf>
    <xf numFmtId="170" fontId="17" fillId="0" borderId="71" applyAlignment="1" pivotButton="0" quotePrefix="0" xfId="0">
      <alignment horizontal="center" vertical="center"/>
    </xf>
    <xf numFmtId="170" fontId="23" fillId="5" borderId="20" applyAlignment="1" pivotButton="0" quotePrefix="0" xfId="0">
      <alignment horizontal="center" vertical="center" wrapText="1"/>
    </xf>
    <xf numFmtId="0" fontId="0" fillId="0" borderId="93" pivotButton="0" quotePrefix="0" xfId="0"/>
    <xf numFmtId="0" fontId="0" fillId="0" borderId="94" pivotButton="0" quotePrefix="0" xfId="0"/>
    <xf numFmtId="170" fontId="23" fillId="6" borderId="83" applyAlignment="1" pivotButton="0" quotePrefix="0" xfId="0">
      <alignment horizontal="center" vertical="center" wrapText="1"/>
    </xf>
    <xf numFmtId="170" fontId="19" fillId="0" borderId="21" applyAlignment="1" pivotButton="0" quotePrefix="0" xfId="0">
      <alignment horizontal="center" vertical="center"/>
    </xf>
    <xf numFmtId="170" fontId="9" fillId="0" borderId="77" applyAlignment="1" pivotButton="0" quotePrefix="0" xfId="0">
      <alignment horizontal="center" vertical="center"/>
    </xf>
    <xf numFmtId="170" fontId="17" fillId="0" borderId="2" applyAlignment="1" pivotButton="0" quotePrefix="0" xfId="0">
      <alignment horizontal="center" vertical="center"/>
    </xf>
    <xf numFmtId="170" fontId="17" fillId="0" borderId="79" applyAlignment="1" pivotButton="0" quotePrefix="0" xfId="0">
      <alignment horizontal="center" vertical="center"/>
    </xf>
    <xf numFmtId="170" fontId="19" fillId="0" borderId="2" applyAlignment="1" pivotButton="0" quotePrefix="0" xfId="0">
      <alignment horizontal="center" vertical="center"/>
    </xf>
    <xf numFmtId="170" fontId="9" fillId="8" borderId="90" applyAlignment="1" pivotButton="0" quotePrefix="0" xfId="0">
      <alignment horizontal="center" vertical="center"/>
    </xf>
    <xf numFmtId="170" fontId="23" fillId="8" borderId="21" applyAlignment="1" pivotButton="0" quotePrefix="0" xfId="0">
      <alignment horizontal="center" vertical="center"/>
    </xf>
    <xf numFmtId="170" fontId="17" fillId="8" borderId="21" applyAlignment="1" pivotButton="0" quotePrefix="0" xfId="0">
      <alignment horizontal="center" vertical="center"/>
    </xf>
    <xf numFmtId="170" fontId="23" fillId="8" borderId="71" applyAlignment="1" pivotButton="0" quotePrefix="0" xfId="0">
      <alignment horizontal="center" vertical="center"/>
    </xf>
    <xf numFmtId="170" fontId="22" fillId="9" borderId="20" applyAlignment="1" pivotButton="0" quotePrefix="0" xfId="0">
      <alignment horizontal="center" vertical="center" wrapText="1"/>
    </xf>
    <xf numFmtId="166" fontId="23" fillId="11" borderId="59" applyAlignment="1" pivotButton="0" quotePrefix="0" xfId="0">
      <alignment horizontal="center" vertical="center" shrinkToFit="1"/>
    </xf>
    <xf numFmtId="170" fontId="22" fillId="10" borderId="83" applyAlignment="1" pivotButton="0" quotePrefix="0" xfId="0">
      <alignment horizontal="center" vertical="center" wrapText="1"/>
    </xf>
    <xf numFmtId="170" fontId="19" fillId="8" borderId="21" applyAlignment="1" pivotButton="0" quotePrefix="0" xfId="0">
      <alignment horizontal="center" vertical="center"/>
    </xf>
    <xf numFmtId="170" fontId="23" fillId="8" borderId="1" applyAlignment="1" pivotButton="0" quotePrefix="0" xfId="0">
      <alignment horizontal="center" vertical="center"/>
    </xf>
    <xf numFmtId="170" fontId="23" fillId="8" borderId="66" applyAlignment="1" pivotButton="0" quotePrefix="0" xfId="0">
      <alignment horizontal="center" vertical="center"/>
    </xf>
    <xf numFmtId="170" fontId="23" fillId="8" borderId="2" applyAlignment="1" pivotButton="0" quotePrefix="0" xfId="0">
      <alignment horizontal="center" vertical="center"/>
    </xf>
    <xf numFmtId="170" fontId="23" fillId="8" borderId="79" applyAlignment="1" pivotButton="0" quotePrefix="0" xfId="0">
      <alignment horizontal="center" vertical="center"/>
    </xf>
    <xf numFmtId="170" fontId="9" fillId="0" borderId="89" applyAlignment="1" pivotButton="0" quotePrefix="0" xfId="0">
      <alignment horizontal="center" vertical="center"/>
    </xf>
    <xf numFmtId="170" fontId="17" fillId="0" borderId="1" applyAlignment="1" pivotButton="0" quotePrefix="0" xfId="0">
      <alignment horizontal="center" vertical="center"/>
    </xf>
    <xf numFmtId="170" fontId="17" fillId="0" borderId="66" applyAlignment="1" pivotButton="0" quotePrefix="0" xfId="0">
      <alignment horizontal="center" vertical="center"/>
    </xf>
    <xf numFmtId="166" fontId="23" fillId="0" borderId="56" applyAlignment="1" pivotButton="0" quotePrefix="0" xfId="0">
      <alignment horizontal="center" vertical="center" shrinkToFit="1"/>
    </xf>
    <xf numFmtId="170" fontId="19" fillId="0" borderId="1" applyAlignment="1" pivotButton="0" quotePrefix="0" xfId="0">
      <alignment horizontal="center" vertical="center"/>
    </xf>
    <xf numFmtId="166" fontId="23" fillId="0" borderId="57" applyAlignment="1" pivotButton="0" quotePrefix="0" xfId="0">
      <alignment horizontal="center" vertical="center" shrinkToFit="1"/>
    </xf>
    <xf numFmtId="170" fontId="17" fillId="8" borderId="71" applyAlignment="1" pivotButton="0" quotePrefix="0" xfId="0">
      <alignment horizontal="center" vertical="center"/>
    </xf>
    <xf numFmtId="170" fontId="19" fillId="0" borderId="71" applyAlignment="1" pivotButton="0" quotePrefix="0" xfId="0">
      <alignment horizontal="center" vertical="center"/>
    </xf>
    <xf numFmtId="166" fontId="19" fillId="11" borderId="59" applyAlignment="1" pivotButton="0" quotePrefix="0" xfId="0">
      <alignment horizontal="center" vertical="center" shrinkToFit="1"/>
    </xf>
    <xf numFmtId="170" fontId="19" fillId="0" borderId="66" applyAlignment="1" pivotButton="0" quotePrefix="0" xfId="0">
      <alignment horizontal="center" vertical="center"/>
    </xf>
    <xf numFmtId="170" fontId="19" fillId="5" borderId="10" applyAlignment="1" pivotButton="0" quotePrefix="0" xfId="0">
      <alignment horizontal="center" vertical="center" wrapText="1"/>
    </xf>
    <xf numFmtId="166" fontId="19" fillId="0" borderId="56" applyAlignment="1" pivotButton="0" quotePrefix="0" xfId="0">
      <alignment horizontal="center" vertical="center" shrinkToFit="1"/>
    </xf>
    <xf numFmtId="170" fontId="19" fillId="6" borderId="82" applyAlignment="1" pivotButton="0" quotePrefix="0" xfId="0">
      <alignment horizontal="center" vertical="center" wrapText="1"/>
    </xf>
    <xf numFmtId="170" fontId="19" fillId="0" borderId="79" applyAlignment="1" pivotButton="0" quotePrefix="0" xfId="0">
      <alignment horizontal="center" vertical="center"/>
    </xf>
    <xf numFmtId="170" fontId="19" fillId="5" borderId="5" applyAlignment="1" pivotButton="0" quotePrefix="0" xfId="0">
      <alignment horizontal="center" vertical="center" wrapText="1"/>
    </xf>
    <xf numFmtId="166" fontId="19" fillId="0" borderId="57" applyAlignment="1" pivotButton="0" quotePrefix="0" xfId="0">
      <alignment horizontal="center" vertical="center" shrinkToFit="1"/>
    </xf>
    <xf numFmtId="170" fontId="19" fillId="6" borderId="51" applyAlignment="1" pivotButton="0" quotePrefix="0" xfId="0">
      <alignment horizontal="center" vertical="center" wrapText="1"/>
    </xf>
    <xf numFmtId="170" fontId="19" fillId="8" borderId="71" applyAlignment="1" pivotButton="0" quotePrefix="0" xfId="0">
      <alignment horizontal="center" vertical="center"/>
    </xf>
    <xf numFmtId="170" fontId="19" fillId="8" borderId="66" applyAlignment="1" pivotButton="0" quotePrefix="0" xfId="0">
      <alignment horizontal="center" vertical="center"/>
    </xf>
    <xf numFmtId="166" fontId="19" fillId="8" borderId="56" applyAlignment="1" pivotButton="0" quotePrefix="0" xfId="0">
      <alignment horizontal="center" vertical="center" shrinkToFit="1"/>
    </xf>
    <xf numFmtId="170" fontId="19" fillId="8" borderId="79" applyAlignment="1" pivotButton="0" quotePrefix="0" xfId="0">
      <alignment horizontal="center" vertical="center"/>
    </xf>
    <xf numFmtId="166" fontId="19" fillId="8" borderId="57" applyAlignment="1" pivotButton="0" quotePrefix="0" xfId="0">
      <alignment horizontal="center" vertical="center" shrinkToFit="1"/>
    </xf>
    <xf numFmtId="166" fontId="23" fillId="0" borderId="59" applyAlignment="1" pivotButton="0" quotePrefix="0" xfId="0">
      <alignment horizontal="center" vertical="center" shrinkToFit="1"/>
    </xf>
    <xf numFmtId="166" fontId="23" fillId="11" borderId="59" applyAlignment="1" pivotButton="0" quotePrefix="0" xfId="0">
      <alignment horizontal="center" vertical="center" wrapText="1"/>
    </xf>
    <xf numFmtId="166" fontId="23" fillId="8" borderId="56" applyAlignment="1" pivotButton="0" quotePrefix="0" xfId="0">
      <alignment horizontal="center" vertical="center" wrapText="1"/>
    </xf>
    <xf numFmtId="166" fontId="23" fillId="8" borderId="57" applyAlignment="1" pivotButton="0" quotePrefix="0" xfId="0">
      <alignment horizontal="center" vertical="center" wrapText="1"/>
    </xf>
    <xf numFmtId="166" fontId="23" fillId="8" borderId="1" applyAlignment="1" pivotButton="0" quotePrefix="0" xfId="0">
      <alignment horizontal="center" vertical="center" wrapText="1"/>
    </xf>
    <xf numFmtId="0" fontId="0" fillId="0" borderId="59" pivotButton="0" quotePrefix="0" xfId="0"/>
    <xf numFmtId="170" fontId="9" fillId="8" borderId="18" applyAlignment="1" pivotButton="0" quotePrefix="0" xfId="0">
      <alignment horizontal="center" vertical="center"/>
    </xf>
    <xf numFmtId="170" fontId="17" fillId="8" borderId="13" applyAlignment="1" pivotButton="0" quotePrefix="0" xfId="0">
      <alignment horizontal="center" vertical="center"/>
    </xf>
    <xf numFmtId="170" fontId="17" fillId="8" borderId="19" applyAlignment="1" pivotButton="0" quotePrefix="0" xfId="0">
      <alignment horizontal="center" vertical="center"/>
    </xf>
    <xf numFmtId="170" fontId="17" fillId="8" borderId="14" applyAlignment="1" pivotButton="0" quotePrefix="0" xfId="0">
      <alignment horizontal="center" vertical="center"/>
    </xf>
    <xf numFmtId="170" fontId="17" fillId="8" borderId="70" applyAlignment="1" pivotButton="0" quotePrefix="0" xfId="0">
      <alignment horizontal="center" vertical="center"/>
    </xf>
    <xf numFmtId="170" fontId="23" fillId="5" borderId="6" applyAlignment="1" pivotButton="0" quotePrefix="0" xfId="0">
      <alignment horizontal="center" vertical="center" wrapText="1"/>
    </xf>
    <xf numFmtId="166" fontId="23" fillId="8" borderId="5" applyAlignment="1" pivotButton="0" quotePrefix="0" xfId="0">
      <alignment horizontal="center" vertical="center" wrapText="1"/>
    </xf>
    <xf numFmtId="0" fontId="0" fillId="0" borderId="51" pivotButton="0" quotePrefix="0" xfId="0"/>
    <xf numFmtId="170" fontId="19" fillId="8" borderId="3" applyAlignment="1" pivotButton="0" quotePrefix="0" xfId="0">
      <alignment horizontal="center" vertical="center"/>
    </xf>
    <xf numFmtId="170" fontId="9" fillId="0" borderId="53" applyAlignment="1" pivotButton="0" quotePrefix="0" xfId="0">
      <alignment horizontal="center" vertical="center"/>
    </xf>
    <xf numFmtId="170" fontId="17" fillId="0" borderId="32" applyAlignment="1" pivotButton="0" quotePrefix="0" xfId="0">
      <alignment horizontal="center" vertical="center"/>
    </xf>
    <xf numFmtId="170" fontId="17" fillId="0" borderId="31" applyAlignment="1" pivotButton="0" quotePrefix="0" xfId="0">
      <alignment horizontal="center" vertical="center"/>
    </xf>
    <xf numFmtId="170" fontId="17" fillId="0" borderId="42" applyAlignment="1" pivotButton="0" quotePrefix="0" xfId="0">
      <alignment horizontal="center" vertical="center"/>
    </xf>
    <xf numFmtId="170" fontId="17" fillId="0" borderId="72" applyAlignment="1" pivotButton="0" quotePrefix="0" xfId="0">
      <alignment horizontal="center" vertical="center"/>
    </xf>
    <xf numFmtId="170" fontId="23" fillId="5" borderId="49" applyAlignment="1" pivotButton="0" quotePrefix="0" xfId="0">
      <alignment horizontal="center" vertical="center" wrapText="1"/>
    </xf>
    <xf numFmtId="166" fontId="23" fillId="0" borderId="98" applyAlignment="1" pivotButton="0" quotePrefix="0" xfId="0">
      <alignment horizontal="center" vertical="center" wrapText="1"/>
    </xf>
    <xf numFmtId="0" fontId="0" fillId="0" borderId="67" pivotButton="0" quotePrefix="0" xfId="0"/>
    <xf numFmtId="0" fontId="0" fillId="0" borderId="68" pivotButton="0" quotePrefix="0" xfId="0"/>
    <xf numFmtId="170" fontId="23" fillId="6" borderId="68" applyAlignment="1" pivotButton="0" quotePrefix="0" xfId="0">
      <alignment horizontal="center" vertical="center" wrapText="1"/>
    </xf>
    <xf numFmtId="170" fontId="19" fillId="0" borderId="42" applyAlignment="1" pivotButton="0" quotePrefix="0" xfId="0">
      <alignment horizontal="center" vertical="center"/>
    </xf>
    <xf numFmtId="170" fontId="19" fillId="0" borderId="32" applyAlignment="1" pivotButton="0" quotePrefix="0" xfId="0">
      <alignment horizontal="center" vertical="center"/>
    </xf>
    <xf numFmtId="166" fontId="10" fillId="7" borderId="0" applyAlignment="1" pivotButton="0" quotePrefix="0" xfId="0">
      <alignment vertical="center"/>
    </xf>
    <xf numFmtId="166" fontId="15" fillId="0" borderId="0" applyAlignment="1" pivotButton="0" quotePrefix="0" xfId="0">
      <alignment vertical="center"/>
    </xf>
    <xf numFmtId="170" fontId="10" fillId="8" borderId="91" applyAlignment="1" pivotButton="0" quotePrefix="0" xfId="0">
      <alignment horizontal="center" vertical="center"/>
    </xf>
    <xf numFmtId="170" fontId="17" fillId="8" borderId="55" applyAlignment="1" pivotButton="0" quotePrefix="0" xfId="0">
      <alignment horizontal="center" vertical="center"/>
    </xf>
    <xf numFmtId="170" fontId="17" fillId="8" borderId="46" applyAlignment="1" pivotButton="0" quotePrefix="0" xfId="0">
      <alignment horizontal="center" vertical="center"/>
    </xf>
    <xf numFmtId="170" fontId="17" fillId="8" borderId="45" applyAlignment="1" pivotButton="0" quotePrefix="0" xfId="0">
      <alignment horizontal="center" vertical="center"/>
    </xf>
    <xf numFmtId="170" fontId="17" fillId="8" borderId="75" applyAlignment="1" pivotButton="0" quotePrefix="0" xfId="0">
      <alignment horizontal="center" vertical="center"/>
    </xf>
    <xf numFmtId="170" fontId="17" fillId="5" borderId="65" applyAlignment="1" pivotButton="0" quotePrefix="0" xfId="0">
      <alignment horizontal="center" vertical="center" wrapText="1"/>
    </xf>
    <xf numFmtId="166" fontId="17" fillId="8" borderId="65" applyAlignment="1" pivotButton="0" quotePrefix="0" xfId="0">
      <alignment horizontal="center" vertical="center" wrapText="1"/>
    </xf>
    <xf numFmtId="0" fontId="0" fillId="0" borderId="46" pivotButton="0" quotePrefix="0" xfId="0"/>
    <xf numFmtId="0" fontId="0" fillId="0" borderId="65" pivotButton="0" quotePrefix="0" xfId="0"/>
    <xf numFmtId="170" fontId="17" fillId="6" borderId="65" applyAlignment="1" pivotButton="0" quotePrefix="0" xfId="0">
      <alignment horizontal="center" vertical="center" wrapText="1"/>
    </xf>
    <xf numFmtId="170" fontId="19" fillId="8" borderId="45" applyAlignment="1" pivotButton="0" quotePrefix="0" xfId="0">
      <alignment horizontal="center" vertical="center"/>
    </xf>
    <xf numFmtId="170" fontId="19" fillId="8" borderId="55" applyAlignment="1" pivotButton="0" quotePrefix="0" xfId="0">
      <alignment horizontal="center" vertical="center"/>
    </xf>
    <xf numFmtId="167" fontId="10" fillId="0" borderId="0" applyAlignment="1" pivotButton="0" quotePrefix="0" xfId="0">
      <alignment vertical="center"/>
    </xf>
    <xf numFmtId="167" fontId="14" fillId="0" borderId="76" applyAlignment="1" pivotButton="0" quotePrefix="0" xfId="1">
      <alignment horizontal="center" vertical="center"/>
    </xf>
    <xf numFmtId="167" fontId="18" fillId="0" borderId="43" applyAlignment="1" pivotButton="0" quotePrefix="0" xfId="1">
      <alignment horizontal="center" vertical="center"/>
    </xf>
    <xf numFmtId="167" fontId="18" fillId="0" borderId="33" applyAlignment="1" pivotButton="0" quotePrefix="0" xfId="1">
      <alignment horizontal="center" vertical="center"/>
    </xf>
    <xf numFmtId="167" fontId="18" fillId="0" borderId="44" applyAlignment="1" pivotButton="0" quotePrefix="0" xfId="1">
      <alignment horizontal="center" vertical="center"/>
    </xf>
    <xf numFmtId="167" fontId="18" fillId="5" borderId="24" applyAlignment="1" pivotButton="0" quotePrefix="0" xfId="1">
      <alignment horizontal="center" vertical="center" wrapText="1"/>
    </xf>
    <xf numFmtId="166" fontId="17" fillId="0" borderId="61" applyAlignment="1" pivotButton="0" quotePrefix="0" xfId="0">
      <alignment horizontal="center" vertical="center" wrapText="1"/>
    </xf>
    <xf numFmtId="0" fontId="0" fillId="0" borderId="60" pivotButton="0" quotePrefix="0" xfId="0"/>
    <xf numFmtId="0" fontId="0" fillId="0" borderId="61" pivotButton="0" quotePrefix="0" xfId="0"/>
    <xf numFmtId="167" fontId="20" fillId="6" borderId="73" applyAlignment="1" pivotButton="0" quotePrefix="0" xfId="1">
      <alignment horizontal="center" vertical="center" wrapText="1"/>
    </xf>
    <xf numFmtId="167" fontId="20" fillId="0" borderId="44" applyAlignment="1" pivotButton="0" quotePrefix="0" xfId="1">
      <alignment horizontal="center" vertical="center"/>
    </xf>
    <xf numFmtId="167" fontId="20" fillId="0" borderId="43" applyAlignment="1" pivotButton="0" quotePrefix="0" xfId="1">
      <alignment horizontal="center" vertical="center"/>
    </xf>
    <xf numFmtId="0" fontId="10" fillId="0" borderId="104" applyAlignment="1" pivotButton="0" quotePrefix="0" xfId="0">
      <alignment horizontal="center" vertical="center" wrapText="1"/>
    </xf>
    <xf numFmtId="0" fontId="17" fillId="0" borderId="99" applyAlignment="1" pivotButton="0" quotePrefix="0" xfId="0">
      <alignment horizontal="center" vertical="center" wrapText="1"/>
    </xf>
    <xf numFmtId="0" fontId="17" fillId="0" borderId="105" applyAlignment="1" pivotButton="0" quotePrefix="0" xfId="0">
      <alignment horizontal="center" vertical="center" wrapText="1"/>
    </xf>
    <xf numFmtId="0" fontId="17" fillId="0" borderId="106" applyAlignment="1" pivotButton="0" quotePrefix="0" xfId="0">
      <alignment horizontal="center" vertical="center" wrapText="1"/>
    </xf>
    <xf numFmtId="166" fontId="17" fillId="5" borderId="47" applyAlignment="1" pivotButton="0" quotePrefix="0" xfId="0">
      <alignment horizontal="center" vertical="center" wrapText="1"/>
    </xf>
    <xf numFmtId="166" fontId="17" fillId="0" borderId="64" applyAlignment="1" pivotButton="0" quotePrefix="0" xfId="0">
      <alignment horizontal="center" vertical="center" wrapText="1"/>
    </xf>
    <xf numFmtId="0" fontId="0" fillId="0" borderId="28" pivotButton="0" quotePrefix="0" xfId="0"/>
    <xf numFmtId="0" fontId="0" fillId="0" borderId="64" pivotButton="0" quotePrefix="0" xfId="0"/>
    <xf numFmtId="166" fontId="17" fillId="6" borderId="64" applyAlignment="1" pivotButton="0" quotePrefix="0" xfId="0">
      <alignment horizontal="center" vertical="center" wrapText="1"/>
    </xf>
    <xf numFmtId="0" fontId="17" fillId="0" borderId="99" applyAlignment="1" pivotButton="0" quotePrefix="0" xfId="0">
      <alignment horizontal="center" vertical="center" wrapText="1" shrinkToFit="1"/>
    </xf>
    <xf numFmtId="0" fontId="0" fillId="0" borderId="17" pivotButton="0" quotePrefix="0" xfId="0"/>
    <xf numFmtId="0" fontId="0" fillId="0" borderId="9" pivotButton="0" quotePrefix="0" xfId="0"/>
    <xf numFmtId="0" fontId="0" fillId="0" borderId="25" pivotButton="0" quotePrefix="0" xfId="0"/>
    <xf numFmtId="0" fontId="0" fillId="0" borderId="81" pivotButton="0" quotePrefix="0" xfId="0"/>
    <xf numFmtId="166" fontId="17" fillId="5" borderId="5" applyAlignment="1" pivotButton="0" quotePrefix="0" xfId="0">
      <alignment horizontal="center" vertical="center" wrapText="1"/>
    </xf>
    <xf numFmtId="171" fontId="20" fillId="0" borderId="51" applyAlignment="1" pivotButton="0" quotePrefix="0" xfId="0">
      <alignment horizontal="center" vertical="center" wrapText="1"/>
    </xf>
    <xf numFmtId="166" fontId="17" fillId="6" borderId="51" applyAlignment="1" pivotButton="0" quotePrefix="0" xfId="0">
      <alignment horizontal="center" vertical="center" wrapText="1"/>
    </xf>
    <xf numFmtId="166" fontId="17" fillId="5" borderId="4" applyAlignment="1" pivotButton="0" quotePrefix="0" xfId="0">
      <alignment horizontal="center" vertical="center" wrapText="1"/>
    </xf>
    <xf numFmtId="0" fontId="17" fillId="4" borderId="98" applyAlignment="1" pivotButton="0" quotePrefix="0" xfId="0">
      <alignment horizontal="center" vertical="center" shrinkToFit="1"/>
    </xf>
    <xf numFmtId="0" fontId="0" fillId="0" borderId="31" pivotButton="0" quotePrefix="0" xfId="0"/>
    <xf numFmtId="0" fontId="0" fillId="0" borderId="49" pivotButton="0" quotePrefix="0" xfId="0"/>
    <xf numFmtId="166" fontId="17" fillId="6" borderId="48" applyAlignment="1" pivotButton="0" quotePrefix="0" xfId="0">
      <alignment horizontal="center" vertical="center" wrapText="1"/>
    </xf>
    <xf numFmtId="166" fontId="17" fillId="5" borderId="6" applyAlignment="1" pivotButton="0" quotePrefix="0" xfId="0">
      <alignment horizontal="center" vertical="center" wrapText="1"/>
    </xf>
    <xf numFmtId="0" fontId="0" fillId="0" borderId="80" pivotButton="0" quotePrefix="0" xfId="0"/>
    <xf numFmtId="164" fontId="4" fillId="0" borderId="0" applyAlignment="1" pivotButton="0" quotePrefix="0" xfId="1">
      <alignment vertical="center"/>
    </xf>
    <xf numFmtId="165" fontId="11" fillId="0" borderId="0" applyAlignment="1" pivotButton="0" quotePrefix="0" xfId="0">
      <alignment vertical="center"/>
    </xf>
    <xf numFmtId="164" fontId="11" fillId="0" borderId="0" applyAlignment="1" pivotButton="0" quotePrefix="0" xfId="1">
      <alignment vertical="center"/>
    </xf>
    <xf numFmtId="164" fontId="11" fillId="0" borderId="0" applyAlignment="1" pivotButton="0" quotePrefix="0" xfId="0">
      <alignment vertical="center"/>
    </xf>
    <xf numFmtId="0" fontId="0" fillId="0" borderId="0" applyAlignment="1" pivotButton="0" quotePrefix="0" xfId="0">
      <alignment vertical="top" wrapText="1"/>
    </xf>
    <xf numFmtId="0" fontId="24" fillId="13" borderId="107" applyAlignment="1" pivotButton="0" quotePrefix="0" xfId="0">
      <alignment horizontal="center" vertical="center" wrapText="1"/>
    </xf>
    <xf numFmtId="0" fontId="0" fillId="0" borderId="107" applyAlignment="1" pivotButton="0" quotePrefix="0" xfId="0">
      <alignment vertical="center" wrapText="1"/>
    </xf>
  </cellXfs>
  <cellStyles count="9">
    <cellStyle name="표준" xfId="0" builtinId="0"/>
    <cellStyle name="쉼표 [0]" xfId="1" builtinId="6"/>
    <cellStyle name="좋음" xfId="2"/>
    <cellStyle name="나쁨" xfId="3"/>
    <cellStyle name="백분율" xfId="4" builtinId="5"/>
    <cellStyle name="표준 2" xfId="5"/>
    <cellStyle name="스타일 1" xfId="6"/>
    <cellStyle name="표준 3" xfId="7"/>
    <cellStyle name="쉼표 [0] 2" xfId="8"/>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val="1"/>
      </font>
    </dxf>
    <dxf>
      <font>
        <b val="1"/>
      </font>
    </dxf>
    <dxf>
      <font>
        <b val="1"/>
      </font>
      <border>
        <top style="thin">
          <color rgb="FF6182D6"/>
        </top>
      </border>
    </dxf>
    <dxf>
      <font>
        <b val="1"/>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val="1"/>
        <color rgb="FFFFFFFF"/>
      </font>
      <fill>
        <patternFill patternType="solid">
          <fgColor rgb="FF6182D6"/>
          <bgColor rgb="FF6182D6"/>
        </patternFill>
      </fill>
    </dxf>
    <dxf>
      <font>
        <b val="1"/>
        <color rgb="FFFFFFFF"/>
      </font>
      <fill>
        <patternFill patternType="solid">
          <fgColor rgb="FF6182D6"/>
          <bgColor rgb="FF6182D6"/>
        </patternFill>
      </fill>
    </dxf>
    <dxf>
      <font>
        <b val="1"/>
        <color rgb="FFFFFFFF"/>
      </font>
      <fill>
        <patternFill patternType="solid">
          <fgColor rgb="FF6182D6"/>
          <bgColor rgb="FF6182D6"/>
        </patternFill>
      </fill>
      <border>
        <top style="thick">
          <color rgb="FFFFFFFF"/>
        </top>
      </border>
    </dxf>
    <dxf>
      <font>
        <b val="1"/>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7</col>
      <colOff>190500</colOff>
      <row>63</row>
      <rowOff>63500</rowOff>
    </from>
    <to>
      <col>9</col>
      <colOff>444499</colOff>
      <row>64</row>
      <rowOff>191254</rowOff>
    </to>
    <pic>
      <nvPicPr>
        <cNvPr id="6" name="그림 5"/>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1950700" y="17183100"/>
          <a:ext cx="1447800" cy="483354"/>
        </a:xfrm>
        <a:prstGeom xmlns:a="http://schemas.openxmlformats.org/drawingml/2006/main" prst="rect">
          <avLst/>
        </a:prstGeom>
        <a:ln xmlns:a="http://schemas.openxmlformats.org/drawingml/2006/main">
          <a:prstDash val="solid"/>
        </a:ln>
      </spPr>
    </pic>
    <clientData/>
  </twoCellAnchor>
  <twoCellAnchor editAs="oneCell">
    <from>
      <col>7</col>
      <colOff>127000</colOff>
      <row>1</row>
      <rowOff>127000</rowOff>
    </from>
    <to>
      <col>9</col>
      <colOff>380999</colOff>
      <row>3</row>
      <rowOff>140454</rowOff>
    </to>
    <pic>
      <nvPicPr>
        <cNvPr id="7" name="그림 6"/>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1887200" y="203200"/>
          <a:ext cx="1447800" cy="48335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20000000000000000000"/>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20000000000000000000"/>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rgb="FFFFC000"/>
    <outlinePr summaryBelow="1" summaryRight="1"/>
    <pageSetUpPr/>
  </sheetPr>
  <dimension ref="A1:O93"/>
  <sheetViews>
    <sheetView showGridLines="0" tabSelected="1" view="pageBreakPreview" zoomScale="73" zoomScaleNormal="73" zoomScaleSheetLayoutView="73" workbookViewId="0">
      <pane ySplit="7" topLeftCell="A49" activePane="bottomLeft" state="frozen"/>
      <selection activeCell="N18" sqref="N18"/>
      <selection pane="bottomLeft" activeCell="B1" sqref="B1:B1048576"/>
    </sheetView>
  </sheetViews>
  <sheetFormatPr baseColWidth="8" defaultColWidth="8.69921875" defaultRowHeight="15.6"/>
  <cols>
    <col width="1.59765625" customWidth="1" style="1" min="1" max="1"/>
    <col width="14.59765625" customWidth="1" style="1" min="2" max="2"/>
    <col width="20.69921875" customWidth="1" style="1" min="3" max="3"/>
    <col width="19.19921875" customWidth="1" style="1" min="4" max="4"/>
    <col width="17.5" customWidth="1" style="1" min="5" max="5"/>
    <col width="18.59765625" customWidth="1" style="1" min="6" max="6"/>
    <col width="18.19921875" customWidth="1" style="1" min="7" max="7"/>
    <col width="7.69921875" customWidth="1" style="1" min="8" max="10"/>
    <col width="18.09765625" customWidth="1" style="1" min="11" max="11"/>
    <col width="18.59765625" customWidth="1" style="1" min="12" max="12"/>
    <col width="22" customWidth="1" style="1" min="13" max="13"/>
    <col width="18.69921875" customWidth="1" style="1" min="14" max="14"/>
    <col width="21" customWidth="1" style="1" min="15" max="15"/>
    <col width="8.69921875" customWidth="1" style="1" min="16" max="16384"/>
  </cols>
  <sheetData>
    <row r="1" ht="6" customHeight="1" s="260">
      <c r="A1" t="inlineStr">
        <is>
          <t>보장분석 비교</t>
        </is>
      </c>
      <c r="B1" s="6" t="n"/>
      <c r="C1" s="6" t="n"/>
      <c r="D1" s="6" t="n"/>
      <c r="E1" s="6" t="n"/>
      <c r="F1" s="6" t="n"/>
      <c r="G1" s="6" t="n"/>
      <c r="H1" s="6" t="n"/>
      <c r="I1" s="6" t="n"/>
      <c r="J1" s="6" t="n"/>
      <c r="K1" s="6" t="n"/>
      <c r="L1" s="6" t="n"/>
      <c r="M1" s="6" t="n"/>
      <c r="N1" s="6" t="n"/>
      <c r="O1" s="6" t="n"/>
    </row>
    <row r="2" ht="30" customFormat="1" customHeight="1" s="11">
      <c r="A2" t="inlineStr">
        <is>
          <t xml:space="preserve">고객명: </t>
        </is>
      </c>
      <c r="B2" s="10" t="n"/>
      <c r="C2" s="154" t="inlineStr">
        <is>
          <t>세 님 보장 분석표(기존)</t>
        </is>
      </c>
      <c r="G2" s="10" t="n"/>
      <c r="L2" s="10" t="n"/>
      <c r="M2" s="10" t="inlineStr">
        <is>
          <t>세 님 보장 분석표 (리모델링)</t>
        </is>
      </c>
      <c r="N2" s="10" t="n"/>
      <c r="O2" s="10" t="n"/>
    </row>
    <row r="3" ht="6.75" customHeight="1" s="260">
      <c r="A3" t="inlineStr">
        <is>
          <t>생성일: 2026-05-15 10:57:24</t>
        </is>
      </c>
      <c r="B3" s="7" t="n"/>
      <c r="C3" s="7" t="n"/>
      <c r="D3" s="7" t="n"/>
      <c r="E3" s="7" t="n"/>
      <c r="G3" s="7" t="n"/>
      <c r="H3" s="7" t="n"/>
      <c r="I3" s="7" t="n"/>
      <c r="J3" s="7" t="n"/>
      <c r="K3" s="7" t="n"/>
      <c r="M3" s="7" t="n"/>
      <c r="N3" s="7" t="n"/>
      <c r="O3" s="7" t="n"/>
    </row>
    <row r="4" ht="20.25" customHeight="1" s="260" thickBot="1">
      <c r="B4" s="8" t="n"/>
      <c r="C4" s="9" t="n"/>
      <c r="D4" s="8" t="n"/>
      <c r="E4" s="9" t="n"/>
      <c r="F4" s="8" t="n"/>
      <c r="G4" s="8" t="n"/>
      <c r="H4" s="8" t="n"/>
      <c r="I4" s="8" t="n"/>
      <c r="J4" s="8" t="n"/>
      <c r="K4" s="8" t="n"/>
      <c r="L4" s="8" t="n"/>
      <c r="M4" s="9" t="n"/>
      <c r="N4" s="8" t="n"/>
      <c r="O4" s="9" t="n"/>
    </row>
    <row r="5" ht="20.4" customHeight="1" s="260">
      <c r="B5" s="22" t="n"/>
      <c r="C5" s="40" t="n"/>
      <c r="D5" s="39" t="n"/>
      <c r="E5" s="40" t="n"/>
      <c r="F5" s="41" t="n"/>
      <c r="G5" s="261" t="inlineStr">
        <is>
          <t>리모델링 전</t>
        </is>
      </c>
      <c r="H5" s="219" t="inlineStr">
        <is>
          <t>보험사</t>
        </is>
      </c>
      <c r="I5" s="262" t="n"/>
      <c r="J5" s="263" t="n"/>
      <c r="K5" s="264" t="inlineStr">
        <is>
          <t>리모델링 후</t>
        </is>
      </c>
      <c r="L5" s="42" t="n"/>
      <c r="M5" s="43" t="n"/>
      <c r="N5" s="42" t="n"/>
      <c r="O5" s="42" t="n"/>
    </row>
    <row r="6" ht="16.95" customHeight="1" s="260">
      <c r="B6" s="265" t="n"/>
      <c r="C6" s="266" t="n"/>
      <c r="D6" s="266" t="n"/>
      <c r="E6" s="266" t="n"/>
      <c r="F6" s="267" t="n"/>
      <c r="G6" s="268" t="n"/>
      <c r="H6" s="269" t="inlineStr">
        <is>
          <t>상품명</t>
        </is>
      </c>
      <c r="I6" s="270" t="n"/>
      <c r="J6" s="271" t="n"/>
      <c r="K6" s="272" t="n"/>
      <c r="L6" s="273" t="n"/>
      <c r="M6" s="274" t="n"/>
      <c r="N6" s="274" t="n"/>
      <c r="O6" s="274" t="n"/>
    </row>
    <row r="7" ht="26.25" customHeight="1" s="260" thickBot="1">
      <c r="B7" s="275" t="n"/>
      <c r="C7" s="276" t="n"/>
      <c r="D7" s="276" t="n"/>
      <c r="E7" s="276" t="n"/>
      <c r="F7" s="277" t="n"/>
      <c r="G7" s="278" t="n"/>
      <c r="H7" s="279" t="n"/>
      <c r="I7" s="279" t="n"/>
      <c r="J7" s="280" t="n"/>
      <c r="K7" s="280" t="n"/>
      <c r="L7" s="281" t="n"/>
      <c r="M7" s="276" t="n"/>
      <c r="N7" s="276" t="n"/>
      <c r="O7" s="276" t="n"/>
    </row>
    <row r="8" ht="19.5" customFormat="1" customHeight="1" s="17">
      <c r="B8" s="23" t="n"/>
      <c r="C8" s="44" t="n"/>
      <c r="D8" s="45" t="n"/>
      <c r="E8" s="46" t="n"/>
      <c r="F8" s="46" t="n"/>
      <c r="G8" s="47" t="n"/>
      <c r="H8" s="233" t="inlineStr">
        <is>
          <t>가입일자</t>
        </is>
      </c>
      <c r="I8" s="282" t="n"/>
      <c r="J8" s="283" t="n"/>
      <c r="K8" s="48" t="n"/>
      <c r="L8" s="46" t="n"/>
      <c r="M8" s="44" t="n"/>
      <c r="N8" s="46" t="n"/>
      <c r="O8" s="46" t="n"/>
    </row>
    <row r="9" ht="19.5" customFormat="1" customHeight="1" s="284">
      <c r="B9" s="285" t="n"/>
      <c r="C9" s="286" t="n"/>
      <c r="D9" s="287" t="n"/>
      <c r="E9" s="288" t="n"/>
      <c r="F9" s="288" t="n"/>
      <c r="G9" s="289" t="n"/>
      <c r="H9" s="290" t="inlineStr">
        <is>
          <t>납입기간(년)</t>
        </is>
      </c>
      <c r="I9" s="291" t="n"/>
      <c r="J9" s="292" t="n"/>
      <c r="K9" s="293" t="n"/>
      <c r="L9" s="288" t="n"/>
      <c r="M9" s="286" t="n"/>
      <c r="N9" s="288" t="n"/>
      <c r="O9" s="288" t="n"/>
    </row>
    <row r="10" ht="19.5" customFormat="1" customHeight="1" s="284" thickBot="1">
      <c r="B10" s="294" t="n"/>
      <c r="C10" s="295" t="n"/>
      <c r="D10" s="296" t="n"/>
      <c r="E10" s="297" t="n"/>
      <c r="F10" s="297" t="n"/>
      <c r="G10" s="289" t="n"/>
      <c r="H10" s="290" t="inlineStr">
        <is>
          <t>만기</t>
        </is>
      </c>
      <c r="I10" s="291" t="n"/>
      <c r="J10" s="292" t="n"/>
      <c r="K10" s="293" t="n"/>
      <c r="L10" s="295" t="n"/>
      <c r="M10" s="295" t="n"/>
      <c r="N10" s="297" t="n"/>
      <c r="O10" s="297" t="n"/>
    </row>
    <row r="11" ht="21" customFormat="1" customHeight="1" s="298" thickTop="1">
      <c r="B11" s="299" t="n"/>
      <c r="C11" s="300" t="n"/>
      <c r="D11" s="301" t="n"/>
      <c r="E11" s="302" t="n"/>
      <c r="F11" s="303" t="n"/>
      <c r="G11" s="304">
        <f>SUM(B11:F11)</f>
        <v/>
      </c>
      <c r="H11" s="305" t="inlineStr">
        <is>
          <t>일반사망</t>
        </is>
      </c>
      <c r="I11" s="306" t="n"/>
      <c r="J11" s="307" t="n"/>
      <c r="K11" s="308">
        <f>SUM(L11:O11)</f>
        <v/>
      </c>
      <c r="L11" s="309" t="n"/>
      <c r="M11" s="310" t="n"/>
      <c r="N11" s="309" t="n"/>
      <c r="O11" s="309" t="n"/>
    </row>
    <row r="12" ht="21" customFormat="1" customHeight="1" s="298">
      <c r="B12" s="311" t="n"/>
      <c r="C12" s="312" t="n"/>
      <c r="D12" s="312" t="n"/>
      <c r="E12" s="312" t="n"/>
      <c r="F12" s="313" t="n"/>
      <c r="G12" s="314">
        <f>SUM(B12:F12)</f>
        <v/>
      </c>
      <c r="H12" s="315" t="inlineStr">
        <is>
          <t>재해사망</t>
        </is>
      </c>
      <c r="I12" s="316" t="n"/>
      <c r="J12" s="317" t="n"/>
      <c r="K12" s="318">
        <f>SUM(L12:O12)</f>
        <v/>
      </c>
      <c r="L12" s="319" t="n"/>
      <c r="M12" s="319" t="n"/>
      <c r="N12" s="319" t="n"/>
      <c r="O12" s="319" t="n"/>
    </row>
    <row r="13" ht="21" customFormat="1" customHeight="1" s="298">
      <c r="B13" s="320" t="n"/>
      <c r="C13" s="312" t="n"/>
      <c r="D13" s="312" t="n"/>
      <c r="E13" s="312" t="n"/>
      <c r="F13" s="313" t="n"/>
      <c r="G13" s="314">
        <f>SUM(B13:F13)</f>
        <v/>
      </c>
      <c r="H13" s="315" t="inlineStr">
        <is>
          <t>질병사망</t>
        </is>
      </c>
      <c r="I13" s="316" t="n"/>
      <c r="J13" s="317" t="n"/>
      <c r="K13" s="318">
        <f>SUM(L13:O13)</f>
        <v/>
      </c>
      <c r="L13" s="319" t="n"/>
      <c r="M13" s="319" t="n"/>
      <c r="N13" s="319" t="n"/>
      <c r="O13" s="319" t="n"/>
    </row>
    <row r="14" ht="21" customFormat="1" customHeight="1" s="298" thickBot="1">
      <c r="B14" s="321" t="n"/>
      <c r="C14" s="322" t="n"/>
      <c r="D14" s="322" t="n"/>
      <c r="E14" s="322" t="n"/>
      <c r="F14" s="323" t="n"/>
      <c r="G14" s="324">
        <f>SUM(B14:F14)</f>
        <v/>
      </c>
      <c r="H14" s="325" t="inlineStr">
        <is>
          <t>상해사망</t>
        </is>
      </c>
      <c r="I14" s="326" t="n"/>
      <c r="J14" s="327" t="n"/>
      <c r="K14" s="328">
        <f>SUM(L14:O14)</f>
        <v/>
      </c>
      <c r="L14" s="329" t="n"/>
      <c r="M14" s="329" t="n"/>
      <c r="N14" s="329" t="n"/>
      <c r="O14" s="329" t="n"/>
    </row>
    <row r="15" ht="21" customFormat="1" customHeight="1" s="298">
      <c r="B15" s="330" t="n"/>
      <c r="C15" s="331" t="n"/>
      <c r="D15" s="331" t="n"/>
      <c r="E15" s="331" t="n"/>
      <c r="F15" s="332" t="n"/>
      <c r="G15" s="333">
        <f>SUM(B15:F15)</f>
        <v/>
      </c>
      <c r="H15" s="175" t="inlineStr">
        <is>
          <t>상해 후유장해 3%</t>
        </is>
      </c>
      <c r="I15" s="334" t="n"/>
      <c r="J15" s="335" t="n"/>
      <c r="K15" s="336">
        <f>SUM(L15:O15)</f>
        <v/>
      </c>
      <c r="L15" s="337" t="n"/>
      <c r="M15" s="337" t="n"/>
      <c r="N15" s="337" t="n"/>
      <c r="O15" s="337" t="n"/>
    </row>
    <row r="16" ht="21" customFormat="1" customHeight="1" s="298" thickBot="1">
      <c r="B16" s="338" t="n"/>
      <c r="C16" s="339" t="n"/>
      <c r="D16" s="339" t="n"/>
      <c r="E16" s="339" t="n"/>
      <c r="F16" s="340" t="n"/>
      <c r="G16" s="324">
        <f>SUM(B16:F16)</f>
        <v/>
      </c>
      <c r="H16" s="172" t="inlineStr">
        <is>
          <t>질병 후유장해 3%</t>
        </is>
      </c>
      <c r="I16" s="326" t="n"/>
      <c r="J16" s="327" t="n"/>
      <c r="K16" s="328">
        <f>SUM(L16:O16)</f>
        <v/>
      </c>
      <c r="L16" s="341" t="n"/>
      <c r="M16" s="341" t="n"/>
      <c r="N16" s="341" t="n"/>
      <c r="O16" s="341" t="n"/>
    </row>
    <row r="17" ht="21" customFormat="1" customHeight="1" s="298">
      <c r="B17" s="342" t="n"/>
      <c r="C17" s="343" t="n"/>
      <c r="D17" s="344" t="n"/>
      <c r="E17" s="343" t="n"/>
      <c r="F17" s="345" t="n"/>
      <c r="G17" s="346">
        <f>SUM(B17:F17)</f>
        <v/>
      </c>
      <c r="H17" s="347" t="inlineStr">
        <is>
          <t>일반암(유사암제외)</t>
        </is>
      </c>
      <c r="I17" s="334" t="n"/>
      <c r="J17" s="335" t="n"/>
      <c r="K17" s="348">
        <f>SUM(L17:O17)</f>
        <v/>
      </c>
      <c r="L17" s="349" t="n"/>
      <c r="M17" s="349" t="n"/>
      <c r="N17" s="349" t="n"/>
      <c r="O17" s="349" t="n"/>
    </row>
    <row r="18" ht="21" customFormat="1" customHeight="1" s="298">
      <c r="B18" s="320" t="n"/>
      <c r="C18" s="350" t="n"/>
      <c r="D18" s="312" t="n"/>
      <c r="E18" s="350" t="n"/>
      <c r="F18" s="351" t="n"/>
      <c r="G18" s="314">
        <f>SUM(B18:F18)</f>
        <v/>
      </c>
      <c r="H18" s="315" t="inlineStr">
        <is>
          <t>유사암 / 소액암</t>
        </is>
      </c>
      <c r="I18" s="316" t="n"/>
      <c r="J18" s="317" t="n"/>
      <c r="K18" s="318">
        <f>SUM(L18:O18)</f>
        <v/>
      </c>
      <c r="L18" s="319" t="n"/>
      <c r="M18" s="319" t="n"/>
      <c r="N18" s="319" t="n"/>
      <c r="O18" s="319" t="n"/>
    </row>
    <row r="19" ht="21" customFormat="1" customHeight="1" s="298">
      <c r="B19" s="320" t="n"/>
      <c r="C19" s="350" t="n"/>
      <c r="D19" s="312" t="n"/>
      <c r="E19" s="350" t="n"/>
      <c r="F19" s="351" t="n"/>
      <c r="G19" s="314">
        <f>SUM(B19:F19)</f>
        <v/>
      </c>
      <c r="H19" s="315" t="inlineStr">
        <is>
          <t>암수술</t>
        </is>
      </c>
      <c r="I19" s="316" t="n"/>
      <c r="J19" s="317" t="n"/>
      <c r="K19" s="318">
        <f>SUM(L19:O19)</f>
        <v/>
      </c>
      <c r="L19" s="319" t="n"/>
      <c r="M19" s="319" t="n"/>
      <c r="N19" s="319" t="n"/>
      <c r="O19" s="319" t="n"/>
    </row>
    <row r="20" ht="21" customFormat="1" customHeight="1" s="298">
      <c r="B20" s="320" t="n"/>
      <c r="C20" s="350" t="n"/>
      <c r="D20" s="312" t="n"/>
      <c r="E20" s="350" t="n"/>
      <c r="F20" s="351" t="n"/>
      <c r="G20" s="314">
        <f>SUM(B20:F20)</f>
        <v/>
      </c>
      <c r="H20" s="315" t="inlineStr">
        <is>
          <t>항암방사선·항암약물</t>
        </is>
      </c>
      <c r="I20" s="316" t="n"/>
      <c r="J20" s="317" t="n"/>
      <c r="K20" s="318">
        <f>SUM(L20:O20)</f>
        <v/>
      </c>
      <c r="L20" s="319" t="n"/>
      <c r="M20" s="319" t="n"/>
      <c r="N20" s="319" t="n"/>
      <c r="O20" s="319" t="n"/>
    </row>
    <row r="21" ht="21" customFormat="1" customHeight="1" s="298" thickBot="1">
      <c r="B21" s="321" t="n"/>
      <c r="C21" s="352" t="n"/>
      <c r="D21" s="322" t="n"/>
      <c r="E21" s="352" t="n"/>
      <c r="F21" s="353" t="n"/>
      <c r="G21" s="324">
        <f>SUM(B21:F21)</f>
        <v/>
      </c>
      <c r="H21" s="325" t="inlineStr">
        <is>
          <t>표적항암약물</t>
        </is>
      </c>
      <c r="I21" s="326" t="n"/>
      <c r="J21" s="327" t="n"/>
      <c r="K21" s="328">
        <f>SUM(L21:O21)</f>
        <v/>
      </c>
      <c r="L21" s="329" t="n"/>
      <c r="M21" s="329" t="n"/>
      <c r="N21" s="329" t="n"/>
      <c r="O21" s="329" t="n"/>
    </row>
    <row r="22" ht="21" customFormat="1" customHeight="1" s="298">
      <c r="B22" s="330" t="n"/>
      <c r="C22" s="331" t="n"/>
      <c r="D22" s="331" t="n"/>
      <c r="E22" s="331" t="n"/>
      <c r="F22" s="332" t="n"/>
      <c r="G22" s="346">
        <f>SUM(B22:F22)</f>
        <v/>
      </c>
      <c r="H22" s="347" t="inlineStr">
        <is>
          <t>뇌혈관 진단비</t>
        </is>
      </c>
      <c r="I22" s="334" t="n"/>
      <c r="J22" s="335" t="n"/>
      <c r="K22" s="348">
        <f>SUM(L22:O22)</f>
        <v/>
      </c>
      <c r="L22" s="337" t="n"/>
      <c r="M22" s="337" t="n"/>
      <c r="N22" s="337" t="n"/>
      <c r="O22" s="337" t="n"/>
    </row>
    <row r="23" ht="21" customFormat="1" customHeight="1" s="298">
      <c r="B23" s="354" t="n"/>
      <c r="C23" s="355" t="n"/>
      <c r="D23" s="355" t="n"/>
      <c r="E23" s="355" t="n"/>
      <c r="F23" s="356" t="n"/>
      <c r="G23" s="314">
        <f>SUM(B23:F23)</f>
        <v/>
      </c>
      <c r="H23" s="357" t="inlineStr">
        <is>
          <t>뇌혈관 수술비</t>
        </is>
      </c>
      <c r="I23" s="316" t="n"/>
      <c r="J23" s="317" t="n"/>
      <c r="K23" s="318">
        <f>SUM(L23:O23)</f>
        <v/>
      </c>
      <c r="L23" s="358" t="n"/>
      <c r="M23" s="358" t="n"/>
      <c r="N23" s="358" t="n"/>
      <c r="O23" s="358" t="n"/>
    </row>
    <row r="24" ht="21" customFormat="1" customHeight="1" s="298">
      <c r="B24" s="354" t="n"/>
      <c r="C24" s="355" t="n"/>
      <c r="D24" s="355" t="n"/>
      <c r="E24" s="355" t="n"/>
      <c r="F24" s="356" t="n"/>
      <c r="G24" s="314">
        <f>SUM(B24:F24)</f>
        <v/>
      </c>
      <c r="H24" s="357" t="inlineStr">
        <is>
          <t>뇌졸중</t>
        </is>
      </c>
      <c r="I24" s="316" t="n"/>
      <c r="J24" s="317" t="n"/>
      <c r="K24" s="318">
        <f>SUM(L24:O24)</f>
        <v/>
      </c>
      <c r="L24" s="358" t="n"/>
      <c r="M24" s="358" t="n"/>
      <c r="N24" s="358" t="n"/>
      <c r="O24" s="358" t="n"/>
    </row>
    <row r="25" ht="21" customFormat="1" customHeight="1" s="298" thickBot="1">
      <c r="B25" s="338" t="n"/>
      <c r="C25" s="339" t="n"/>
      <c r="D25" s="339" t="n"/>
      <c r="E25" s="339" t="n"/>
      <c r="F25" s="340" t="n"/>
      <c r="G25" s="324">
        <f>SUM(B25:F25)</f>
        <v/>
      </c>
      <c r="H25" s="359" t="inlineStr">
        <is>
          <t>뇌출혈</t>
        </is>
      </c>
      <c r="I25" s="326" t="n"/>
      <c r="J25" s="327" t="n"/>
      <c r="K25" s="328">
        <f>SUM(L25:O25)</f>
        <v/>
      </c>
      <c r="L25" s="341" t="n"/>
      <c r="M25" s="341" t="n"/>
      <c r="N25" s="341" t="n"/>
      <c r="O25" s="341" t="n"/>
    </row>
    <row r="26" ht="21" customFormat="1" customHeight="1" s="298">
      <c r="B26" s="342" t="n"/>
      <c r="C26" s="344" t="n"/>
      <c r="D26" s="344" t="n"/>
      <c r="E26" s="344" t="n"/>
      <c r="F26" s="360" t="n"/>
      <c r="G26" s="346">
        <f>SUM(B26:F26)</f>
        <v/>
      </c>
      <c r="H26" s="347" t="inlineStr">
        <is>
          <t>허혈성심장질환 진단비</t>
        </is>
      </c>
      <c r="I26" s="334" t="n"/>
      <c r="J26" s="335" t="n"/>
      <c r="K26" s="348">
        <f>SUM(L26:O26)</f>
        <v/>
      </c>
      <c r="L26" s="349" t="n"/>
      <c r="M26" s="349" t="n"/>
      <c r="N26" s="349" t="n"/>
      <c r="O26" s="349" t="n"/>
    </row>
    <row r="27" ht="21" customFormat="1" customHeight="1" s="298">
      <c r="B27" s="320" t="n"/>
      <c r="C27" s="312" t="n"/>
      <c r="D27" s="312" t="n"/>
      <c r="E27" s="312" t="n"/>
      <c r="F27" s="313" t="n"/>
      <c r="G27" s="314">
        <f>SUM(B27:F27)</f>
        <v/>
      </c>
      <c r="H27" s="315" t="inlineStr">
        <is>
          <t>허혈심장 수술비</t>
        </is>
      </c>
      <c r="I27" s="316" t="n"/>
      <c r="J27" s="317" t="n"/>
      <c r="K27" s="318">
        <f>SUM(L27:O27)</f>
        <v/>
      </c>
      <c r="L27" s="319" t="n"/>
      <c r="M27" s="319" t="n"/>
      <c r="N27" s="319" t="n"/>
      <c r="O27" s="319" t="n"/>
    </row>
    <row r="28" hidden="1" ht="21" customFormat="1" customHeight="1" s="298">
      <c r="B28" s="320" t="n"/>
      <c r="C28" s="312" t="n"/>
      <c r="D28" s="312" t="n"/>
      <c r="E28" s="312" t="n"/>
      <c r="F28" s="313" t="n"/>
      <c r="G28" s="314">
        <f>SUM(B28:F28)</f>
        <v/>
      </c>
      <c r="H28" s="315" t="inlineStr">
        <is>
          <t>심혈관(심부전, 기타)</t>
        </is>
      </c>
      <c r="I28" s="316" t="n"/>
      <c r="J28" s="317" t="n"/>
      <c r="K28" s="318">
        <f>SUM(L28:O28)</f>
        <v/>
      </c>
      <c r="L28" s="319" t="n"/>
      <c r="M28" s="319" t="n"/>
      <c r="N28" s="319" t="n"/>
      <c r="O28" s="319" t="n"/>
    </row>
    <row r="29" ht="21" customFormat="1" customHeight="1" s="298">
      <c r="B29" s="320" t="n"/>
      <c r="C29" s="319" t="n"/>
      <c r="D29" s="319" t="n"/>
      <c r="E29" s="319" t="n"/>
      <c r="F29" s="313" t="n"/>
      <c r="G29" s="314">
        <f>SUM(B29:F29)</f>
        <v/>
      </c>
      <c r="H29" s="315" t="inlineStr">
        <is>
          <t>부정맥(I49)</t>
        </is>
      </c>
      <c r="I29" s="316" t="n"/>
      <c r="J29" s="317" t="n"/>
      <c r="K29" s="318">
        <f>SUM(L29:O29)</f>
        <v/>
      </c>
      <c r="L29" s="319" t="n"/>
      <c r="M29" s="319" t="n"/>
      <c r="N29" s="319" t="n"/>
      <c r="O29" s="319" t="n"/>
    </row>
    <row r="30" ht="21" customFormat="1" customHeight="1" s="298" thickBot="1">
      <c r="B30" s="321" t="n"/>
      <c r="C30" s="322" t="n"/>
      <c r="D30" s="322" t="n"/>
      <c r="E30" s="322" t="n"/>
      <c r="F30" s="323" t="n"/>
      <c r="G30" s="324">
        <f>SUM(B30:F30)</f>
        <v/>
      </c>
      <c r="H30" s="325" t="inlineStr">
        <is>
          <t>급성심근경색</t>
        </is>
      </c>
      <c r="I30" s="326" t="n"/>
      <c r="J30" s="327" t="n"/>
      <c r="K30" s="328">
        <f>SUM(L30:O30)</f>
        <v/>
      </c>
      <c r="L30" s="329" t="n"/>
      <c r="M30" s="329" t="n"/>
      <c r="N30" s="329" t="n"/>
      <c r="O30" s="329" t="n"/>
    </row>
    <row r="31" ht="21" customFormat="1" customHeight="1" s="298">
      <c r="B31" s="330" t="n"/>
      <c r="C31" s="337" t="n"/>
      <c r="D31" s="331" t="n"/>
      <c r="E31" s="337" t="n"/>
      <c r="F31" s="361" t="n"/>
      <c r="G31" s="346">
        <f>SUM(B31:F31)</f>
        <v/>
      </c>
      <c r="H31" s="362" t="inlineStr">
        <is>
          <t>상해수술(ALL)</t>
        </is>
      </c>
      <c r="I31" s="334" t="n"/>
      <c r="J31" s="335" t="n"/>
      <c r="K31" s="348">
        <f>SUM(L31:O31)</f>
        <v/>
      </c>
      <c r="L31" s="337" t="n"/>
      <c r="M31" s="337" t="n"/>
      <c r="N31" s="337" t="n"/>
      <c r="O31" s="337" t="n"/>
    </row>
    <row r="32" ht="21" customFormat="1" customHeight="1" s="298">
      <c r="B32" s="354" t="n"/>
      <c r="C32" s="358" t="n"/>
      <c r="D32" s="355" t="n"/>
      <c r="E32" s="358" t="n"/>
      <c r="F32" s="363" t="n"/>
      <c r="G32" s="364">
        <f>SUM(B32:F32)</f>
        <v/>
      </c>
      <c r="H32" s="365" t="inlineStr">
        <is>
          <t>상해 1-5종수술(1종)</t>
        </is>
      </c>
      <c r="I32" s="316" t="n"/>
      <c r="J32" s="317" t="n"/>
      <c r="K32" s="366">
        <f>SUM(L32:O32)</f>
        <v/>
      </c>
      <c r="L32" s="358" t="n"/>
      <c r="M32" s="358" t="n"/>
      <c r="N32" s="358" t="n"/>
      <c r="O32" s="358" t="n"/>
    </row>
    <row r="33" ht="21" customFormat="1" customHeight="1" s="298">
      <c r="B33" s="354" t="n"/>
      <c r="C33" s="358" t="n"/>
      <c r="D33" s="355" t="n"/>
      <c r="E33" s="358" t="n"/>
      <c r="F33" s="363" t="n"/>
      <c r="G33" s="364">
        <f>SUM(B33:F33)</f>
        <v/>
      </c>
      <c r="H33" s="365" t="inlineStr">
        <is>
          <t>상해 1-5종수술(2종)</t>
        </is>
      </c>
      <c r="I33" s="316" t="n"/>
      <c r="J33" s="317" t="n"/>
      <c r="K33" s="366">
        <f>SUM(L33:O33)</f>
        <v/>
      </c>
      <c r="L33" s="358" t="n"/>
      <c r="M33" s="358" t="n"/>
      <c r="N33" s="358" t="n"/>
      <c r="O33" s="358" t="n"/>
    </row>
    <row r="34" ht="21" customFormat="1" customHeight="1" s="298">
      <c r="B34" s="354" t="n"/>
      <c r="C34" s="358" t="n"/>
      <c r="D34" s="355" t="n"/>
      <c r="E34" s="358" t="n"/>
      <c r="F34" s="363" t="n"/>
      <c r="G34" s="364">
        <f>SUM(B34:F34)</f>
        <v/>
      </c>
      <c r="H34" s="365" t="inlineStr">
        <is>
          <t>상해 1-5종수술(3종)</t>
        </is>
      </c>
      <c r="I34" s="316" t="n"/>
      <c r="J34" s="317" t="n"/>
      <c r="K34" s="366">
        <f>SUM(L34:O34)</f>
        <v/>
      </c>
      <c r="L34" s="358" t="n"/>
      <c r="M34" s="358" t="n"/>
      <c r="N34" s="358" t="n"/>
      <c r="O34" s="358" t="n"/>
    </row>
    <row r="35" ht="21" customFormat="1" customHeight="1" s="298">
      <c r="B35" s="354" t="n"/>
      <c r="C35" s="358" t="n"/>
      <c r="D35" s="355" t="n"/>
      <c r="E35" s="358" t="n"/>
      <c r="F35" s="363" t="n"/>
      <c r="G35" s="364">
        <f>SUM(B35:F35)</f>
        <v/>
      </c>
      <c r="H35" s="365" t="inlineStr">
        <is>
          <t>상해 1-5종수술(4종)</t>
        </is>
      </c>
      <c r="I35" s="316" t="n"/>
      <c r="J35" s="317" t="n"/>
      <c r="K35" s="366">
        <f>SUM(L35:O35)</f>
        <v/>
      </c>
      <c r="L35" s="358" t="n"/>
      <c r="M35" s="358" t="n"/>
      <c r="N35" s="358" t="n"/>
      <c r="O35" s="358" t="n"/>
    </row>
    <row r="36" ht="21" customFormat="1" customHeight="1" s="298" thickBot="1">
      <c r="B36" s="338" t="n"/>
      <c r="C36" s="341" t="n"/>
      <c r="D36" s="339" t="n"/>
      <c r="E36" s="341" t="n"/>
      <c r="F36" s="367" t="n"/>
      <c r="G36" s="368">
        <f>SUM(B36:F36)</f>
        <v/>
      </c>
      <c r="H36" s="369" t="inlineStr">
        <is>
          <t>상해 1-5종수술(5종)</t>
        </is>
      </c>
      <c r="I36" s="326" t="n"/>
      <c r="J36" s="327" t="n"/>
      <c r="K36" s="370">
        <f>SUM(L36:O36)</f>
        <v/>
      </c>
      <c r="L36" s="341" t="n"/>
      <c r="M36" s="341" t="n"/>
      <c r="N36" s="341" t="n"/>
      <c r="O36" s="341" t="n"/>
    </row>
    <row r="37" ht="21" customFormat="1" customHeight="1" s="298">
      <c r="B37" s="342" t="n"/>
      <c r="C37" s="349" t="n"/>
      <c r="D37" s="344" t="n"/>
      <c r="E37" s="349" t="n"/>
      <c r="F37" s="371" t="n"/>
      <c r="G37" s="346">
        <f>SUM(B37:F37)</f>
        <v/>
      </c>
      <c r="H37" s="362" t="inlineStr">
        <is>
          <t>질병수술(ALL)</t>
        </is>
      </c>
      <c r="I37" s="334" t="n"/>
      <c r="J37" s="335" t="n"/>
      <c r="K37" s="348">
        <f>SUM(L37:O37)</f>
        <v/>
      </c>
      <c r="L37" s="349" t="n"/>
      <c r="M37" s="349" t="n"/>
      <c r="N37" s="349" t="n"/>
      <c r="O37" s="349" t="n"/>
    </row>
    <row r="38" ht="21" customFormat="1" customHeight="1" s="298">
      <c r="B38" s="320" t="n"/>
      <c r="C38" s="319" t="n"/>
      <c r="D38" s="312" t="n"/>
      <c r="E38" s="319" t="n"/>
      <c r="F38" s="372" t="n"/>
      <c r="G38" s="364">
        <f>SUM(B38:F38)</f>
        <v/>
      </c>
      <c r="H38" s="373" t="inlineStr">
        <is>
          <t>질병 1-5종수술(1종)</t>
        </is>
      </c>
      <c r="I38" s="316" t="n"/>
      <c r="J38" s="317" t="n"/>
      <c r="K38" s="366">
        <f>SUM(L38:O38)</f>
        <v/>
      </c>
      <c r="L38" s="319" t="n"/>
      <c r="M38" s="319" t="n"/>
      <c r="N38" s="319" t="n"/>
      <c r="O38" s="319" t="n"/>
    </row>
    <row r="39" ht="21" customFormat="1" customHeight="1" s="298">
      <c r="B39" s="320" t="n"/>
      <c r="C39" s="319" t="n"/>
      <c r="D39" s="312" t="n"/>
      <c r="E39" s="319" t="n"/>
      <c r="F39" s="372" t="n"/>
      <c r="G39" s="364">
        <f>SUM(B39:F39)</f>
        <v/>
      </c>
      <c r="H39" s="373" t="inlineStr">
        <is>
          <t>질병 1-5종수술(2종)</t>
        </is>
      </c>
      <c r="I39" s="316" t="n"/>
      <c r="J39" s="317" t="n"/>
      <c r="K39" s="366">
        <f>SUM(L39:O39)</f>
        <v/>
      </c>
      <c r="L39" s="319" t="n"/>
      <c r="M39" s="319" t="n"/>
      <c r="N39" s="319" t="n"/>
      <c r="O39" s="319" t="n"/>
    </row>
    <row r="40" ht="21" customFormat="1" customHeight="1" s="298">
      <c r="B40" s="320" t="n"/>
      <c r="C40" s="319" t="n"/>
      <c r="D40" s="312" t="n"/>
      <c r="E40" s="319" t="n"/>
      <c r="F40" s="372" t="n"/>
      <c r="G40" s="364">
        <f>SUM(B40:F40)</f>
        <v/>
      </c>
      <c r="H40" s="373" t="inlineStr">
        <is>
          <t>질병 1-5종수술(3종)</t>
        </is>
      </c>
      <c r="I40" s="316" t="n"/>
      <c r="J40" s="317" t="n"/>
      <c r="K40" s="366">
        <f>SUM(L40:O40)</f>
        <v/>
      </c>
      <c r="L40" s="319" t="n"/>
      <c r="M40" s="319" t="n"/>
      <c r="N40" s="319" t="n"/>
      <c r="O40" s="319" t="n"/>
    </row>
    <row r="41" ht="21" customFormat="1" customHeight="1" s="298">
      <c r="B41" s="320" t="n"/>
      <c r="C41" s="319" t="n"/>
      <c r="D41" s="312" t="n"/>
      <c r="E41" s="319" t="n"/>
      <c r="F41" s="372" t="n"/>
      <c r="G41" s="364">
        <f>SUM(B41:F41)</f>
        <v/>
      </c>
      <c r="H41" s="373" t="inlineStr">
        <is>
          <t>질병 1-5종수술(4종)</t>
        </is>
      </c>
      <c r="I41" s="316" t="n"/>
      <c r="J41" s="317" t="n"/>
      <c r="K41" s="366">
        <f>SUM(L41:O41)</f>
        <v/>
      </c>
      <c r="L41" s="319" t="n"/>
      <c r="M41" s="319" t="n"/>
      <c r="N41" s="319" t="n"/>
      <c r="O41" s="319" t="n"/>
    </row>
    <row r="42" ht="21" customFormat="1" customHeight="1" s="298" thickBot="1">
      <c r="B42" s="321" t="n"/>
      <c r="C42" s="329" t="n"/>
      <c r="D42" s="322" t="n"/>
      <c r="E42" s="329" t="n"/>
      <c r="F42" s="374" t="n"/>
      <c r="G42" s="368">
        <f>SUM(B42:F42)</f>
        <v/>
      </c>
      <c r="H42" s="375" t="inlineStr">
        <is>
          <t>질병 1-5종수술(5종)</t>
        </is>
      </c>
      <c r="I42" s="326" t="n"/>
      <c r="J42" s="327" t="n"/>
      <c r="K42" s="370">
        <f>SUM(L42:O42)</f>
        <v/>
      </c>
      <c r="L42" s="329" t="n"/>
      <c r="M42" s="329" t="n"/>
      <c r="N42" s="329" t="n"/>
      <c r="O42" s="329" t="n"/>
    </row>
    <row r="43" ht="21" customFormat="1" customHeight="1" s="298">
      <c r="B43" s="330" t="n"/>
      <c r="C43" s="331" t="n"/>
      <c r="D43" s="331" t="n"/>
      <c r="E43" s="331" t="n"/>
      <c r="F43" s="332" t="n"/>
      <c r="G43" s="333">
        <f>SUM(B43:F43)</f>
        <v/>
      </c>
      <c r="H43" s="376" t="inlineStr">
        <is>
          <t>상해 입원일당(1일이상)</t>
        </is>
      </c>
      <c r="I43" s="334" t="n"/>
      <c r="J43" s="335" t="n"/>
      <c r="K43" s="336">
        <f>SUM(L43:O43)</f>
        <v/>
      </c>
      <c r="L43" s="337" t="n"/>
      <c r="M43" s="337" t="n"/>
      <c r="N43" s="337" t="n"/>
      <c r="O43" s="337" t="n"/>
    </row>
    <row r="44" ht="21" customFormat="1" customHeight="1" s="298" thickBot="1">
      <c r="B44" s="338" t="n"/>
      <c r="C44" s="339" t="n"/>
      <c r="D44" s="339" t="n"/>
      <c r="E44" s="339" t="n"/>
      <c r="F44" s="340" t="n"/>
      <c r="G44" s="324">
        <f>SUM(B44:F44)</f>
        <v/>
      </c>
      <c r="H44" s="359" t="inlineStr">
        <is>
          <t>질병 입원일당(1일이상)</t>
        </is>
      </c>
      <c r="I44" s="326" t="n"/>
      <c r="J44" s="327" t="n"/>
      <c r="K44" s="328">
        <f>SUM(L44:O44)</f>
        <v/>
      </c>
      <c r="L44" s="341" t="n"/>
      <c r="M44" s="341" t="n"/>
      <c r="N44" s="341" t="n"/>
      <c r="O44" s="341" t="n"/>
    </row>
    <row r="45" ht="21" customFormat="1" customHeight="1" s="298">
      <c r="B45" s="342" t="n"/>
      <c r="C45" s="344" t="n"/>
      <c r="D45" s="344" t="n"/>
      <c r="E45" s="344" t="n"/>
      <c r="F45" s="360" t="n"/>
      <c r="G45" s="346">
        <f>SUM(B45:F45)</f>
        <v/>
      </c>
      <c r="H45" s="377" t="inlineStr">
        <is>
          <t>골절진단비</t>
        </is>
      </c>
      <c r="I45" s="334" t="n"/>
      <c r="J45" s="335" t="n"/>
      <c r="K45" s="348">
        <f>SUM(L45:O45)</f>
        <v/>
      </c>
      <c r="L45" s="349" t="n"/>
      <c r="M45" s="349" t="n"/>
      <c r="N45" s="349" t="n"/>
      <c r="O45" s="349" t="n"/>
    </row>
    <row r="46" ht="21" customFormat="1" customHeight="1" s="298">
      <c r="B46" s="320" t="n"/>
      <c r="C46" s="312" t="n"/>
      <c r="D46" s="312" t="n"/>
      <c r="E46" s="312" t="n"/>
      <c r="F46" s="313" t="n"/>
      <c r="G46" s="314">
        <f>SUM(B46:F46)</f>
        <v/>
      </c>
      <c r="H46" s="378" t="inlineStr">
        <is>
          <t>화상진단비</t>
        </is>
      </c>
      <c r="I46" s="316" t="n"/>
      <c r="J46" s="317" t="n"/>
      <c r="K46" s="318">
        <f>SUM(L46:O46)</f>
        <v/>
      </c>
      <c r="L46" s="319" t="n"/>
      <c r="M46" s="319" t="n"/>
      <c r="N46" s="319" t="n"/>
      <c r="O46" s="319" t="n"/>
    </row>
    <row r="47" ht="21" customFormat="1" customHeight="1" s="298">
      <c r="B47" s="320" t="n"/>
      <c r="C47" s="312" t="n"/>
      <c r="D47" s="312" t="n"/>
      <c r="E47" s="312" t="n"/>
      <c r="F47" s="313" t="n"/>
      <c r="G47" s="314">
        <f>SUM(B47:F47)</f>
        <v/>
      </c>
      <c r="H47" s="315" t="inlineStr">
        <is>
          <t>깁스치료비</t>
        </is>
      </c>
      <c r="I47" s="316" t="n"/>
      <c r="J47" s="317" t="n"/>
      <c r="K47" s="318">
        <f>SUM(L47:O47)</f>
        <v/>
      </c>
      <c r="L47" s="319" t="n"/>
      <c r="M47" s="319" t="n"/>
      <c r="N47" s="319" t="n"/>
      <c r="O47" s="319" t="n"/>
    </row>
    <row r="48" ht="21" customFormat="1" customHeight="1" s="298" thickBot="1">
      <c r="B48" s="321" t="n"/>
      <c r="C48" s="322" t="n"/>
      <c r="D48" s="322" t="n"/>
      <c r="E48" s="322" t="n"/>
      <c r="F48" s="323" t="n"/>
      <c r="G48" s="324">
        <f>SUM(B48:F48)</f>
        <v/>
      </c>
      <c r="H48" s="379" t="inlineStr">
        <is>
          <t>응급실 내원비</t>
        </is>
      </c>
      <c r="I48" s="326" t="n"/>
      <c r="J48" s="327" t="n"/>
      <c r="K48" s="328">
        <f>SUM(L48:O48)</f>
        <v/>
      </c>
      <c r="L48" s="329" t="n"/>
      <c r="M48" s="329" t="n"/>
      <c r="N48" s="329" t="n"/>
      <c r="O48" s="329" t="n"/>
    </row>
    <row r="49" ht="21" customFormat="1" customHeight="1" s="298">
      <c r="B49" s="330" t="n"/>
      <c r="C49" s="331" t="n"/>
      <c r="D49" s="331" t="n"/>
      <c r="E49" s="331" t="n"/>
      <c r="F49" s="332" t="n"/>
      <c r="G49" s="333">
        <f>SUM(B49:F49)</f>
        <v/>
      </c>
      <c r="H49" s="376" t="inlineStr">
        <is>
          <t>간병사용(상해)</t>
        </is>
      </c>
      <c r="I49" s="334" t="n"/>
      <c r="J49" s="335" t="n"/>
      <c r="K49" s="336">
        <f>SUM(L49:O49)</f>
        <v/>
      </c>
      <c r="L49" s="337" t="n"/>
      <c r="M49" s="337" t="n"/>
      <c r="N49" s="337" t="n"/>
      <c r="O49" s="337" t="n"/>
    </row>
    <row r="50" ht="21" customFormat="1" customHeight="1" s="298" thickBot="1">
      <c r="B50" s="338" t="n"/>
      <c r="C50" s="339" t="n"/>
      <c r="D50" s="339" t="n"/>
      <c r="E50" s="339" t="n"/>
      <c r="F50" s="340" t="n"/>
      <c r="G50" s="324">
        <f>SUM(B50:F50)</f>
        <v/>
      </c>
      <c r="H50" s="359" t="inlineStr">
        <is>
          <t>간병사용(질병)</t>
        </is>
      </c>
      <c r="I50" s="326" t="n"/>
      <c r="J50" s="327" t="n"/>
      <c r="K50" s="328">
        <f>SUM(L50:O50)</f>
        <v/>
      </c>
      <c r="L50" s="341" t="n"/>
      <c r="M50" s="341" t="n"/>
      <c r="N50" s="341" t="n"/>
      <c r="O50" s="341" t="n"/>
    </row>
    <row r="51" ht="21" customFormat="1" customHeight="1" s="298">
      <c r="B51" s="342" t="n"/>
      <c r="C51" s="344" t="n"/>
      <c r="D51" s="344" t="n"/>
      <c r="E51" s="344" t="n"/>
      <c r="F51" s="360" t="n"/>
      <c r="G51" s="346">
        <f>SUM(B51:F51)</f>
        <v/>
      </c>
      <c r="H51" s="377" t="inlineStr">
        <is>
          <t>자동차사고부상</t>
        </is>
      </c>
      <c r="I51" s="334" t="n"/>
      <c r="J51" s="335" t="n"/>
      <c r="K51" s="348">
        <f>SUM(L51:O51)</f>
        <v/>
      </c>
      <c r="L51" s="349" t="n"/>
      <c r="M51" s="349" t="n"/>
      <c r="N51" s="349" t="n"/>
      <c r="O51" s="349" t="n"/>
    </row>
    <row r="52" ht="21" customFormat="1" customHeight="1" s="298">
      <c r="B52" s="320" t="n"/>
      <c r="C52" s="312" t="n"/>
      <c r="D52" s="312" t="n"/>
      <c r="E52" s="312" t="n"/>
      <c r="F52" s="313" t="n"/>
      <c r="G52" s="314">
        <f>SUM(B52:F52)</f>
        <v/>
      </c>
      <c r="H52" s="378" t="inlineStr">
        <is>
          <t>벌
금</t>
        </is>
      </c>
      <c r="I52" s="380" t="inlineStr">
        <is>
          <t>대인</t>
        </is>
      </c>
      <c r="J52" s="317" t="n"/>
      <c r="K52" s="318">
        <f>SUM(L52:O52)</f>
        <v/>
      </c>
      <c r="L52" s="319" t="n"/>
      <c r="M52" s="319" t="n"/>
      <c r="N52" s="319" t="n"/>
      <c r="O52" s="319" t="n"/>
    </row>
    <row r="53" ht="21" customFormat="1" customHeight="1" s="298">
      <c r="B53" s="320" t="n"/>
      <c r="C53" s="312" t="n"/>
      <c r="D53" s="312" t="n"/>
      <c r="E53" s="312" t="n"/>
      <c r="F53" s="313" t="n"/>
      <c r="G53" s="314">
        <f>SUM(B53:F53)</f>
        <v/>
      </c>
      <c r="H53" s="381" t="n"/>
      <c r="I53" s="380" t="inlineStr">
        <is>
          <t>대물</t>
        </is>
      </c>
      <c r="J53" s="317" t="n"/>
      <c r="K53" s="318">
        <f>SUM(L53:O53)</f>
        <v/>
      </c>
      <c r="L53" s="319" t="n"/>
      <c r="M53" s="319" t="n"/>
      <c r="N53" s="319" t="n"/>
      <c r="O53" s="319" t="n"/>
    </row>
    <row r="54" ht="21" customFormat="1" customHeight="1" s="298">
      <c r="B54" s="320" t="n"/>
      <c r="C54" s="312" t="n"/>
      <c r="D54" s="312" t="n"/>
      <c r="E54" s="312" t="n"/>
      <c r="F54" s="313" t="n"/>
      <c r="G54" s="314">
        <f>SUM(B54:F54)</f>
        <v/>
      </c>
      <c r="H54" s="378" t="inlineStr">
        <is>
          <t>합
의</t>
        </is>
      </c>
      <c r="I54" s="380" t="inlineStr">
        <is>
          <t>사망/중상해</t>
        </is>
      </c>
      <c r="J54" s="317" t="n"/>
      <c r="K54" s="318">
        <f>SUM(L54:O54)</f>
        <v/>
      </c>
      <c r="L54" s="319" t="n"/>
      <c r="M54" s="319" t="n"/>
      <c r="N54" s="319" t="n"/>
      <c r="O54" s="319" t="n"/>
    </row>
    <row r="55" ht="21" customFormat="1" customHeight="1" s="298">
      <c r="B55" s="320" t="n"/>
      <c r="C55" s="312" t="n"/>
      <c r="D55" s="312" t="n"/>
      <c r="E55" s="312" t="n"/>
      <c r="F55" s="313" t="n"/>
      <c r="G55" s="314">
        <f>SUM(B55:F55)</f>
        <v/>
      </c>
      <c r="H55" s="381" t="n"/>
      <c r="I55" s="380" t="inlineStr">
        <is>
          <t>6주미만</t>
        </is>
      </c>
      <c r="J55" s="317" t="n"/>
      <c r="K55" s="318">
        <f>SUM(L55:O55)</f>
        <v/>
      </c>
      <c r="L55" s="319" t="n"/>
      <c r="M55" s="319" t="n"/>
      <c r="N55" s="319" t="n"/>
      <c r="O55" s="319" t="n"/>
    </row>
    <row r="56" ht="21" customFormat="1" customHeight="1" s="298" thickBot="1">
      <c r="B56" s="382" t="n"/>
      <c r="C56" s="383" t="n"/>
      <c r="D56" s="384" t="n"/>
      <c r="E56" s="385" t="n"/>
      <c r="F56" s="386" t="n"/>
      <c r="G56" s="387">
        <f>SUM(B56:F56)</f>
        <v/>
      </c>
      <c r="H56" s="388" t="inlineStr">
        <is>
          <t>변호사선임비용</t>
        </is>
      </c>
      <c r="I56" s="326" t="n"/>
      <c r="J56" s="389" t="n"/>
      <c r="K56" s="328">
        <f>SUM(L56:O56)</f>
        <v/>
      </c>
      <c r="L56" s="390" t="n"/>
      <c r="M56" s="329" t="n"/>
      <c r="N56" s="390" t="n"/>
      <c r="O56" s="390" t="n"/>
    </row>
    <row r="57" ht="21" customFormat="1" customHeight="1" s="298" thickBot="1">
      <c r="B57" s="391" t="n"/>
      <c r="C57" s="392" t="n"/>
      <c r="D57" s="393" t="n"/>
      <c r="E57" s="394" t="n"/>
      <c r="F57" s="395" t="n"/>
      <c r="G57" s="396">
        <f>SUM(B57:F57)</f>
        <v/>
      </c>
      <c r="H57" s="397" t="inlineStr">
        <is>
          <t>일상배상책임보험</t>
        </is>
      </c>
      <c r="I57" s="398" t="n"/>
      <c r="J57" s="399" t="n"/>
      <c r="K57" s="400">
        <f>SUM(L57:O57)</f>
        <v/>
      </c>
      <c r="L57" s="401" t="n"/>
      <c r="M57" s="402" t="n"/>
      <c r="N57" s="401" t="n"/>
      <c r="O57" s="401" t="n"/>
    </row>
    <row r="58" ht="21" customFormat="1" customHeight="1" s="403" thickBot="1">
      <c r="A58" s="404" t="n"/>
      <c r="B58" s="405" t="n"/>
      <c r="C58" s="406" t="n"/>
      <c r="D58" s="407" t="n"/>
      <c r="E58" s="408" t="n"/>
      <c r="F58" s="409" t="n"/>
      <c r="G58" s="410" t="n"/>
      <c r="H58" s="411" t="inlineStr">
        <is>
          <t>실비</t>
        </is>
      </c>
      <c r="I58" s="412" t="n"/>
      <c r="J58" s="413" t="n"/>
      <c r="K58" s="414" t="n"/>
      <c r="L58" s="415" t="n"/>
      <c r="M58" s="416" t="n"/>
      <c r="N58" s="415" t="n"/>
      <c r="O58" s="415" t="n"/>
    </row>
    <row r="59" ht="21" customFormat="1" customHeight="1" s="417" thickBot="1" thickTop="1">
      <c r="B59" s="418" t="n"/>
      <c r="C59" s="419" t="n"/>
      <c r="D59" s="420" t="n"/>
      <c r="E59" s="421" t="n"/>
      <c r="F59" s="421" t="n"/>
      <c r="G59" s="422">
        <f>SUM(B59:F59)</f>
        <v/>
      </c>
      <c r="H59" s="423" t="n"/>
      <c r="I59" s="424" t="n"/>
      <c r="J59" s="425" t="n"/>
      <c r="K59" s="426">
        <f>SUM(L59:O59)</f>
        <v/>
      </c>
      <c r="L59" s="427" t="n"/>
      <c r="M59" s="428" t="n"/>
      <c r="N59" s="427" t="n"/>
      <c r="O59" s="427" t="n"/>
    </row>
    <row r="60" ht="27.75" customFormat="1" customHeight="1" s="14" thickTop="1">
      <c r="B60" s="429" t="n"/>
      <c r="C60" s="430" t="n"/>
      <c r="D60" s="431" t="n"/>
      <c r="E60" s="430" t="n"/>
      <c r="F60" s="432" t="n"/>
      <c r="G60" s="433" t="inlineStr">
        <is>
          <t>대장용종제거</t>
        </is>
      </c>
      <c r="H60" s="434" t="inlineStr">
        <is>
          <t>전/후 차이금액</t>
        </is>
      </c>
      <c r="I60" s="435" t="n"/>
      <c r="J60" s="436" t="n"/>
      <c r="K60" s="437" t="inlineStr">
        <is>
          <t>대장용종제거</t>
        </is>
      </c>
      <c r="L60" s="430" t="n"/>
      <c r="M60" s="430" t="n"/>
      <c r="N60" s="430" t="n"/>
      <c r="O60" s="438" t="n"/>
    </row>
    <row r="61" ht="27.75" customFormat="1" customHeight="1" s="14" thickBot="1">
      <c r="B61" s="439" t="n"/>
      <c r="C61" s="440" t="n"/>
      <c r="D61" s="441" t="n"/>
      <c r="E61" s="440" t="n"/>
      <c r="F61" s="442" t="n"/>
      <c r="G61" s="443">
        <f>G37+G39</f>
        <v/>
      </c>
      <c r="H61" s="444">
        <f>K59-G59</f>
        <v/>
      </c>
      <c r="I61" s="326" t="n"/>
      <c r="J61" s="389" t="n"/>
      <c r="K61" s="445">
        <f>K37+K39</f>
        <v/>
      </c>
      <c r="L61" s="440" t="n"/>
      <c r="M61" s="440" t="n"/>
      <c r="N61" s="440" t="n"/>
      <c r="O61" s="440" t="n"/>
    </row>
    <row r="62" ht="27.75" customFormat="1" customHeight="1" s="14">
      <c r="B62" s="439" t="n"/>
      <c r="C62" s="440" t="n"/>
      <c r="D62" s="441" t="n"/>
      <c r="E62" s="440" t="n"/>
      <c r="F62" s="442" t="n"/>
      <c r="G62" s="446" t="inlineStr">
        <is>
          <t>체외충격파쇄석술</t>
        </is>
      </c>
      <c r="H62" s="447" t="n"/>
      <c r="I62" s="448" t="n"/>
      <c r="J62" s="449" t="n"/>
      <c r="K62" s="450" t="inlineStr">
        <is>
          <t>체외충격파쇄석술</t>
        </is>
      </c>
      <c r="L62" s="440" t="n"/>
      <c r="M62" s="440" t="n"/>
      <c r="N62" s="440" t="n"/>
      <c r="O62" s="440" t="n"/>
    </row>
    <row r="63" ht="27.75" customFormat="1" customHeight="1" s="14" thickBot="1">
      <c r="B63" s="439" t="n"/>
      <c r="C63" s="440" t="n"/>
      <c r="D63" s="441" t="n"/>
      <c r="E63" s="440" t="n"/>
      <c r="F63" s="442" t="n"/>
      <c r="G63" s="443">
        <f>G39</f>
        <v/>
      </c>
      <c r="H63" s="439" t="n"/>
      <c r="J63" s="272" t="n"/>
      <c r="K63" s="445">
        <f>K39</f>
        <v/>
      </c>
      <c r="L63" s="440" t="n"/>
      <c r="M63" s="440" t="n"/>
      <c r="N63" s="440" t="n"/>
      <c r="O63" s="440" t="n"/>
    </row>
    <row r="64" ht="27.75" customFormat="1" customHeight="1" s="14">
      <c r="B64" s="439" t="n"/>
      <c r="C64" s="440" t="n"/>
      <c r="D64" s="441" t="n"/>
      <c r="E64" s="440" t="n"/>
      <c r="F64" s="442" t="n"/>
      <c r="G64" s="446" t="inlineStr">
        <is>
          <t>골절진단/수술</t>
        </is>
      </c>
      <c r="H64" s="439" t="n"/>
      <c r="J64" s="272" t="n"/>
      <c r="K64" s="450" t="inlineStr">
        <is>
          <t>골절진단/수술</t>
        </is>
      </c>
      <c r="L64" s="440" t="n"/>
      <c r="M64" s="440" t="n"/>
      <c r="N64" s="440" t="n"/>
      <c r="O64" s="440" t="n"/>
    </row>
    <row r="65" ht="27.75" customFormat="1" customHeight="1" s="14" thickBot="1">
      <c r="B65" s="439" t="n"/>
      <c r="C65" s="440" t="n"/>
      <c r="D65" s="441" t="n"/>
      <c r="E65" s="440" t="n"/>
      <c r="F65" s="442" t="n"/>
      <c r="G65" s="443">
        <f>G45+G31</f>
        <v/>
      </c>
      <c r="H65" s="439" t="n"/>
      <c r="J65" s="272" t="n"/>
      <c r="K65" s="445">
        <f>K45+K31</f>
        <v/>
      </c>
      <c r="L65" s="440" t="n"/>
      <c r="M65" s="440" t="n"/>
      <c r="N65" s="440" t="n"/>
      <c r="O65" s="440" t="n"/>
    </row>
    <row r="66" ht="27.75" customFormat="1" customHeight="1" s="14">
      <c r="B66" s="439" t="n"/>
      <c r="C66" s="440" t="n"/>
      <c r="D66" s="441" t="n"/>
      <c r="E66" s="440" t="n"/>
      <c r="F66" s="442" t="n"/>
      <c r="G66" s="446" t="inlineStr">
        <is>
          <t>후유장해 5%</t>
        </is>
      </c>
      <c r="H66" s="439" t="n"/>
      <c r="J66" s="272" t="n"/>
      <c r="K66" s="450" t="inlineStr">
        <is>
          <t>후유장해 5%</t>
        </is>
      </c>
      <c r="L66" s="440" t="n"/>
      <c r="M66" s="440" t="n"/>
      <c r="N66" s="440" t="n"/>
      <c r="O66" s="440" t="n"/>
    </row>
    <row r="67" ht="27.75" customHeight="1" s="260" thickBot="1">
      <c r="B67" s="275" t="n"/>
      <c r="C67" s="276" t="n"/>
      <c r="D67" s="281" t="n"/>
      <c r="E67" s="276" t="n"/>
      <c r="F67" s="277" t="n"/>
      <c r="G67" s="451">
        <f>G15*0.05</f>
        <v/>
      </c>
      <c r="H67" s="275" t="n"/>
      <c r="I67" s="279" t="n"/>
      <c r="J67" s="280" t="n"/>
      <c r="K67" s="445">
        <f>K15*0.05</f>
        <v/>
      </c>
      <c r="L67" s="276" t="n"/>
      <c r="M67" s="276" t="n"/>
      <c r="N67" s="276" t="n"/>
      <c r="O67" s="276" t="n"/>
    </row>
    <row r="68" ht="21" customHeight="1" s="260" thickBot="1" thickTop="1">
      <c r="B68" s="38" t="n"/>
      <c r="C68" s="236" t="n"/>
      <c r="D68" s="452" t="n"/>
      <c r="E68" s="452" t="n"/>
      <c r="F68" s="452" t="n"/>
      <c r="G68" s="452" t="n"/>
      <c r="H68" s="19" t="n"/>
      <c r="I68" s="19" t="n"/>
      <c r="J68" s="21" t="n"/>
      <c r="K68" s="236" t="inlineStr">
        <is>
          <t xml:space="preserve">원금융서비스     / FAX </t>
        </is>
      </c>
      <c r="L68" s="452" t="n"/>
      <c r="M68" s="452" t="n"/>
      <c r="N68" s="452" t="n"/>
      <c r="O68" s="452" t="n"/>
    </row>
    <row r="72" ht="17.4" customHeight="1" s="260">
      <c r="D72" s="453" t="n"/>
    </row>
    <row r="74">
      <c r="F74" s="454" t="n"/>
      <c r="L74" s="454" t="n"/>
    </row>
    <row r="76">
      <c r="F76" s="454" t="n"/>
      <c r="L76" s="454" t="n"/>
    </row>
    <row r="82">
      <c r="K82" s="4" t="n"/>
    </row>
    <row r="83">
      <c r="K83" s="4" t="n"/>
    </row>
    <row r="84">
      <c r="F84" s="455" t="n"/>
      <c r="K84" s="4" t="n"/>
      <c r="L84" s="455" t="n"/>
    </row>
    <row r="85">
      <c r="F85" s="455" t="n"/>
      <c r="K85" s="4" t="n"/>
      <c r="L85" s="455" t="n"/>
    </row>
    <row r="86">
      <c r="F86" s="455" t="n"/>
      <c r="K86" s="4" t="n"/>
      <c r="L86" s="455" t="n"/>
    </row>
    <row r="87">
      <c r="F87" s="455" t="n"/>
      <c r="K87" s="4" t="n"/>
      <c r="L87" s="455" t="n"/>
    </row>
    <row r="88">
      <c r="F88" s="455" t="n"/>
      <c r="K88" s="4" t="n"/>
      <c r="L88" s="455" t="n"/>
    </row>
    <row r="89">
      <c r="F89" s="455" t="n"/>
      <c r="L89" s="455" t="n"/>
    </row>
    <row r="90">
      <c r="F90" s="455" t="n"/>
      <c r="L90" s="455" t="n"/>
    </row>
    <row r="91">
      <c r="F91" s="455" t="n"/>
      <c r="L91" s="455" t="n"/>
    </row>
    <row r="93">
      <c r="F93" s="456" t="n"/>
      <c r="L93" s="456" t="n"/>
    </row>
  </sheetData>
  <mergeCells count="82">
    <mergeCell ref="C68:G68"/>
    <mergeCell ref="D60:D67"/>
    <mergeCell ref="F60:F67"/>
    <mergeCell ref="H17:J17"/>
    <mergeCell ref="H11:J11"/>
    <mergeCell ref="H52:H53"/>
    <mergeCell ref="H22:J22"/>
    <mergeCell ref="H19:J19"/>
    <mergeCell ref="B6:B7"/>
    <mergeCell ref="H6:J7"/>
    <mergeCell ref="H5:J5"/>
    <mergeCell ref="H30:J30"/>
    <mergeCell ref="K5:K7"/>
    <mergeCell ref="I52:J52"/>
    <mergeCell ref="C60:C67"/>
    <mergeCell ref="H29:J29"/>
    <mergeCell ref="H38:J38"/>
    <mergeCell ref="L60:L67"/>
    <mergeCell ref="H44:J44"/>
    <mergeCell ref="H31:J31"/>
    <mergeCell ref="H58:J58"/>
    <mergeCell ref="H40:J40"/>
    <mergeCell ref="C6:C7"/>
    <mergeCell ref="C2:F2"/>
    <mergeCell ref="H21:J21"/>
    <mergeCell ref="H51:J51"/>
    <mergeCell ref="H60:J60"/>
    <mergeCell ref="K68:O68"/>
    <mergeCell ref="O60:O67"/>
    <mergeCell ref="H16:J16"/>
    <mergeCell ref="H62:J67"/>
    <mergeCell ref="I54:J54"/>
    <mergeCell ref="H57:J57"/>
    <mergeCell ref="H27:J27"/>
    <mergeCell ref="H33:J33"/>
    <mergeCell ref="E60:E67"/>
    <mergeCell ref="H42:J42"/>
    <mergeCell ref="B60:B67"/>
    <mergeCell ref="L6:L7"/>
    <mergeCell ref="H35:J35"/>
    <mergeCell ref="N6:N7"/>
    <mergeCell ref="N60:N67"/>
    <mergeCell ref="H20:J20"/>
    <mergeCell ref="H59:J59"/>
    <mergeCell ref="H54:H55"/>
    <mergeCell ref="H46:J46"/>
    <mergeCell ref="H61:J61"/>
    <mergeCell ref="G5:G7"/>
    <mergeCell ref="H45:J45"/>
    <mergeCell ref="H32:J32"/>
    <mergeCell ref="H13:J13"/>
    <mergeCell ref="H47:J47"/>
    <mergeCell ref="H15:J15"/>
    <mergeCell ref="H24:J24"/>
    <mergeCell ref="H18:J18"/>
    <mergeCell ref="H8:J8"/>
    <mergeCell ref="H26:J26"/>
    <mergeCell ref="H10:J10"/>
    <mergeCell ref="H50:J50"/>
    <mergeCell ref="H34:J34"/>
    <mergeCell ref="H9:J9"/>
    <mergeCell ref="D6:D7"/>
    <mergeCell ref="H39:J39"/>
    <mergeCell ref="F6:F7"/>
    <mergeCell ref="H49:J49"/>
    <mergeCell ref="H36:J36"/>
    <mergeCell ref="H28:J28"/>
    <mergeCell ref="H37:J37"/>
    <mergeCell ref="M6:M7"/>
    <mergeCell ref="H12:J12"/>
    <mergeCell ref="M60:M67"/>
    <mergeCell ref="I53:J53"/>
    <mergeCell ref="E6:E7"/>
    <mergeCell ref="H48:J48"/>
    <mergeCell ref="H14:J14"/>
    <mergeCell ref="I55:J55"/>
    <mergeCell ref="H23:J23"/>
    <mergeCell ref="H43:J43"/>
    <mergeCell ref="H41:J41"/>
    <mergeCell ref="O6:O7"/>
    <mergeCell ref="H56:J56"/>
    <mergeCell ref="H25:J25"/>
  </mergeCells>
  <printOptions horizontalCentered="1" verticalCentered="1"/>
  <pageMargins left="0.2362204724409449" right="0.2362204724409449" top="0.3543307086614174" bottom="0.3543307086614174" header="0.3149606299212598" footer="0.3149606299212598"/>
  <pageSetup orientation="portrait" paperSize="9" scale="49"/>
  <colBreaks count="1" manualBreakCount="1">
    <brk id="10" min="0" max="79" man="1"/>
  </col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style="260" min="2" max="2"/>
    <col width="35" customWidth="1" style="260" min="3" max="3"/>
  </cols>
  <sheetData>
    <row r="2">
      <c r="B2" t="inlineStr">
        <is>
          <t>보험사</t>
        </is>
      </c>
      <c r="C2" t="inlineStr">
        <is>
          <t>서상웅 님의 상품별 가입담보상세 2026-05-14 10:32:45 (55세 ,남자) ※ 기준담보/권장금액 : 기본형(37개)/표준형 메리츠화재</t>
        </is>
      </c>
    </row>
    <row r="3">
      <c r="B3" t="inlineStr">
        <is>
          <t>상품명</t>
        </is>
      </c>
      <c r="C3" t="inlineStr">
        <is>
          <t>(무) 메리츠 운전자 상해 종합보험2411</t>
        </is>
      </c>
    </row>
    <row r="4">
      <c r="B4" t="inlineStr">
        <is>
          <t>계약일자</t>
        </is>
      </c>
      <c r="C4" t="inlineStr">
        <is>
          <t>2024.12.13</t>
        </is>
      </c>
    </row>
    <row r="5">
      <c r="B5" t="inlineStr">
        <is>
          <t>납입기간</t>
        </is>
      </c>
      <c r="C5" t="inlineStr"/>
    </row>
    <row r="6">
      <c r="B6" t="inlineStr">
        <is>
          <t>보험료</t>
        </is>
      </c>
      <c r="C6" t="inlineStr">
        <is>
          <t>12,440원</t>
        </is>
      </c>
    </row>
    <row r="10" ht="80" customHeight="1" s="260">
      <c r="B10" s="457" t="inlineStr">
        <is>
          <t>상해사망	운전자용	1,000만	정액
상해수술비	외모특정상해수술비[기본계약]	10만	정액
운전자 담보	화재벌금담보	2,000만	실손
미분류	가전제품고장수리비용	100만	실손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style="260" min="2" max="2"/>
    <col width="35" customWidth="1" style="260" min="3" max="3"/>
  </cols>
  <sheetData>
    <row r="2">
      <c r="B2" t="inlineStr">
        <is>
          <t>보험사</t>
        </is>
      </c>
      <c r="C2" t="inlineStr">
        <is>
          <t>서상웅 님의 상품별 가입담보상세 2026-05-14 10:32:45 (55세 ,남자) ※ 기준담보/권장금액 : 기본형(37개)/표준형 롯데손보</t>
        </is>
      </c>
    </row>
    <row r="3">
      <c r="B3" t="inlineStr">
        <is>
          <t>상품명</t>
        </is>
      </c>
      <c r="C3" t="inlineStr">
        <is>
          <t>무배당 let:drive 운전자보험(2411)</t>
        </is>
      </c>
    </row>
    <row r="4">
      <c r="B4" t="inlineStr">
        <is>
          <t>계약일자</t>
        </is>
      </c>
      <c r="C4" t="inlineStr">
        <is>
          <t>2024.12.12</t>
        </is>
      </c>
    </row>
    <row r="5">
      <c r="B5" t="inlineStr">
        <is>
          <t>납입기간</t>
        </is>
      </c>
      <c r="C5" t="inlineStr"/>
    </row>
    <row r="6">
      <c r="B6" t="inlineStr">
        <is>
          <t>보험료</t>
        </is>
      </c>
      <c r="C6" t="inlineStr">
        <is>
          <t>17,000원</t>
        </is>
      </c>
    </row>
    <row r="10" ht="288" customHeight="1" s="260">
      <c r="B10" s="457" t="inlineStr">
        <is>
          <t>골절/화상	골절진단비(치아파절제외)	10만	정액
골절/화상	골절진단비(치아파절포함)	10만	정액
골절/화상	5대골절진단비	50만	정액
상해수술비	상해수술비	50만	정액
골절/화상	골절철심제거수술비(급여,연간1회한)	50만	정액
상해입원일당	상해입원비(1일-180일)	2만	정액
상해입원일당	교통상해입원비(1일-180일)	1만	정액
상해입원일당	종합병원상해입원비(1일-180일)	3만	정액
미분류	깁스치료비	50만	정액
운전자 담보	자동차사고부상Ⅱ(1~3급)	1,000만	정액
운전자 담보	자동차사고부상Ⅱ(1~7급)	1,000만	정액
운전자 담보	교통사고	1,000만	실손
운전자 담보	자동차사고	5,000만	실손
운전자 담보	교통사고	500만	실손
운전자 담보	교통사고처리지원금	2억	실손
운전자 담보	교통사고	3,000만	실손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style="260" min="2" max="2"/>
    <col width="35" customWidth="1" style="260" min="3" max="3"/>
  </cols>
  <sheetData>
    <row r="2">
      <c r="B2" t="inlineStr">
        <is>
          <t>보험사</t>
        </is>
      </c>
      <c r="C2" t="inlineStr">
        <is>
          <t>서상웅 님의 상품별 가입담보상세 2026-05-14 10:32:45 (55세 ,남자) ※ 기준담보/권장금액 : 기본형(37개)/표준형 흥국화재</t>
        </is>
      </c>
    </row>
    <row r="3">
      <c r="B3" t="inlineStr">
        <is>
          <t>상품명</t>
        </is>
      </c>
      <c r="C3" t="inlineStr">
        <is>
          <t>무배당 행복을 多주는 가족사랑보험(1108)</t>
        </is>
      </c>
    </row>
    <row r="4">
      <c r="B4" t="inlineStr">
        <is>
          <t>계약일자</t>
        </is>
      </c>
      <c r="C4" t="inlineStr">
        <is>
          <t>2011.09.15</t>
        </is>
      </c>
    </row>
    <row r="5">
      <c r="B5" t="inlineStr">
        <is>
          <t>납입기간</t>
        </is>
      </c>
      <c r="C5" t="inlineStr"/>
    </row>
    <row r="6">
      <c r="B6" t="inlineStr">
        <is>
          <t>보험료</t>
        </is>
      </c>
      <c r="C6" t="inlineStr">
        <is>
          <t>71,473원</t>
        </is>
      </c>
    </row>
    <row r="10" ht="216" customHeight="1" s="260">
      <c r="B10" s="457" t="inlineStr">
        <is>
          <t>미분류	조혈모세포이식수술비	2,000만	정액
상해사망	일반상해사망	100만	정액
후유장해	일반상해후유장해	3,000만	정액
후유장해	일반상해후유장해	3,000만	정액
질병입원일당	질병입원비(1일-180일)	2만	정액
상해입원일당	일반상해입원비(1일-180일)	2만	정액
실손의료비	상해(일반상해,전체상해를 의미) 상해(일반상해,전체상해를	5,000만	실손
실손의료비	상해(일반상해,전체상해를 의미) 상해(일반상해,전체상해를	5만	실손
실손의료비	상해(일반상해,전체상해를 의미) 상해(일반상해,전체상해를	25만	실손
실손의료비	질병(전체질병을	5,000만	실손
실손의료비	질병(전체질병을	5만	실손
실손의료비	질병(전체질병을	25만	실손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style="260" min="2" max="2"/>
    <col width="35" customWidth="1" style="260" min="3" max="3"/>
  </cols>
  <sheetData>
    <row r="2">
      <c r="B2" t="inlineStr">
        <is>
          <t>보험사</t>
        </is>
      </c>
      <c r="C2" t="inlineStr">
        <is>
          <t>서상웅 님의 상품별 가입담보상세 2026-05-14 10:32:45 (55세 ,남자) ※ 기준담보/권장금액 : 기본형(37개)/표준형 흥국화재</t>
        </is>
      </c>
    </row>
    <row r="3">
      <c r="B3" t="inlineStr">
        <is>
          <t>상품명</t>
        </is>
      </c>
      <c r="C3" t="inlineStr">
        <is>
          <t>무배당 흥Good 든든한 3N5 간편종합보험(26.01)_(2종)(20년갱신형)(통합간편가입형)(해약환급금미지급형) (1/2)</t>
        </is>
      </c>
    </row>
    <row r="4">
      <c r="B4" t="inlineStr">
        <is>
          <t>계약일자</t>
        </is>
      </c>
      <c r="C4" t="inlineStr">
        <is>
          <t>2026.01.26</t>
        </is>
      </c>
    </row>
    <row r="5">
      <c r="B5" t="inlineStr">
        <is>
          <t>납입기간</t>
        </is>
      </c>
      <c r="C5" t="inlineStr"/>
    </row>
    <row r="6">
      <c r="B6" t="inlineStr">
        <is>
          <t>보험료</t>
        </is>
      </c>
      <c r="C6" t="inlineStr">
        <is>
          <t>142,915원</t>
        </is>
      </c>
    </row>
    <row r="10" ht="612" customHeight="1" s="260">
      <c r="B10" s="457" t="inlineStr">
        <is>
          <t>상해사망	일반상해사망(통합간편가입형)(갱신형_20년)	5,000만	정액
뇌혈관 진단비	뇌혈관질환진단비Ⅱ(통합간편가입형)(갱신형_20년)	1,000만	정액
허혈성심장질환 진단비	허혈성심질환진단비Ⅱ(통합간편가입형)(갱신형_20년)	1,000만	정액
미분류	갑상선 바늘생검 조직병리 진단비(급여_연간1회한)(통합	30만	정액
미분류	대상포진눈병진단비(통합간편가입형)(갱신형_20년)	300만	정액
미분류	대상포진진단비(통합간편가입형)(갱신형_20년)	100만	정액
미분류	백내장진단비(통합간편가입형)(갱신형_20년)	10만	정액
미분류	심부 바늘생검 조직병리 진단비(급여_연간1회한)(통합간	30만	정액
미분류	요로결석진단비(통합간편가입형)(갱신형_20년)	30만	정액
미분류	전립선 바늘생검 조직병리 진단비(급여_연간1회한)(통합	30만	정액
미분류	주요심장염증질환진단비(통합간편가입형)(갱신형_20년)	100만	정액
미분류	통풍진단비(통합간편가입형)(갱신형_20년)	100만	정액
미분류	특정심혈관질환(기타심장부정맥)진단비Ⅱ(통합간편가입형)(	200만	정액
미분류	특정심혈관질환(기타심장부정맥제외)진단비Ⅱ(통합간편가입형	200만	정액
일반암 진단비	암진단비(유사암제외)(통합간편가입형)(갱신형_20년)	1,000만	정액
일반암 진단비	유사암진단비(통합간편가입형)(갱신형_20년)	200만	정액
골절/화상	골절진단비(치아파절제외)(통합간편가입형)(갱신형_20년	30만	정액
골절/화상	화상진단비(통합간편가입형)(갱신형_20년)	20만	정액
뇌혈관 수술비	뇌혈관질환수술비Ⅱ(통합간편가입형)(갱신형_20년)	1,000만	정액
허혈성심장질환 수술비	허혈성심질환수술비Ⅱ(통합간편가입형)(갱신형_20년)	1,000만	정액
질병수술비	다빈치로봇	100만	정액
질병수술비	심장부정맥 고주파·냉각절제술(급여_연간1회한)(통합간편	100만	정액
미분류	다빈치및레보아이로봇	1,000만	정액
미분류	다빈치및레보아이로봇	1,000만	정액
미분류	8대기관	10만	정액
골절/화상	골절수술비(통합간편가입형)(갱신형_20년)	30만	정액
골절/화상	화상수술비(통합간편가입형)(갱신형_20년)	20만	정액
미분류	깁스치료비(갱신형_20년)	20만	정액
미분류	관상동맥 스텐트삽입술치료비(급여_연간1회한)(통합간편가	100만	정액
미분류	뇌혈관 및 대동맥 스텐트삽입술치료비(급여_각각	100만	정액
미분류	소화·비뇨기관 및 기타혈관 스텐트삽입술치료비(급여_각각	20만	정액
미분류	순환계질환 주요치료비_수술비(혈전제거제외)(연간1회한)	1,000만	정액
미분류	순환계질환 주요치료비_중환자실치료비(종합병원)(연간1회	1,000만	정액
미분류	순환계질환 주요치료비_혈전용해치료비(연간1회한)(통합간	500만	정액</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style="260" min="2" max="2"/>
    <col width="35" customWidth="1" style="260" min="3" max="3"/>
  </cols>
  <sheetData>
    <row r="2">
      <c r="B2" t="inlineStr">
        <is>
          <t>보험사</t>
        </is>
      </c>
      <c r="C2" t="inlineStr">
        <is>
          <t>서상웅 님의 상품별 가입담보상세 2026-05-14 10:32:45 (55세 ,남자) ※ 기준담보/권장금액 : 기본형(37개)/표준형 흥국화재</t>
        </is>
      </c>
    </row>
    <row r="3">
      <c r="B3" t="inlineStr">
        <is>
          <t>상품명</t>
        </is>
      </c>
      <c r="C3" t="inlineStr">
        <is>
          <t>무배당 흥Good 든든한 3N5 간편종합보험(26.01)_(2종)(20년갱신형)(통합간편가입형)(해약환급금미지급형) (2/2)</t>
        </is>
      </c>
    </row>
    <row r="4">
      <c r="B4" t="inlineStr">
        <is>
          <t>계약일자</t>
        </is>
      </c>
      <c r="C4" t="inlineStr">
        <is>
          <t>2026.01.26</t>
        </is>
      </c>
    </row>
    <row r="5">
      <c r="B5" t="inlineStr">
        <is>
          <t>납입기간</t>
        </is>
      </c>
      <c r="C5" t="inlineStr"/>
    </row>
    <row r="6">
      <c r="B6" t="inlineStr">
        <is>
          <t>보험료</t>
        </is>
      </c>
      <c r="C6" t="inlineStr">
        <is>
          <t>142,915원</t>
        </is>
      </c>
    </row>
    <row r="10" ht="180" customHeight="1" s="260">
      <c r="B10" s="457" t="inlineStr">
        <is>
          <t>미분류	순환계질환 주요치료비_혈전제거치료비(연간1회한)(통합간	1,000만	정액
미분류	암주요치료비Ⅱ(유사암)(치료별	200만	정액
일반암 진단비	암주요치료비Ⅱ(유사암제외)_암수술비(연간1회한)(통합간	200만	정액
일반암 진단비	암주요치료비Ⅱ(유사암제외)_암중환자실치료비(종합병원)(	500만	정액
일반암 진단비	암주요치료비Ⅱ(유사암제외)_항암방사선치료비(연간1회한)	1,000만	정액
일반암 진단비	암주요치료비Ⅱ(유사암제외)_항암약물치료비(호르몬치료제외	1,000만	정액
일반암 진단비	암주요치료비Ⅱ(유사암제외)_항암호르몬약물치료비(연간1회	200만	정액
미분류	체외충격파쇄석술치료비(ELECTRODE)(급여_연간1회	5만	정액
미분류	체외충격파쇄석술치료비(ELECTRODE제외)(급여_연간	20만	정액
미분류	특정NGS유전자패널검사지원비(급여_연간1회한)(통합간편	100만	정액</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style="260" min="2" max="2"/>
    <col width="35" customWidth="1" style="260" min="3" max="3"/>
  </cols>
  <sheetData>
    <row r="2">
      <c r="B2" t="inlineStr">
        <is>
          <t>보험사</t>
        </is>
      </c>
      <c r="C2" t="inlineStr">
        <is>
          <t>서상웅 님의 상품별 가입담보상세 2026-05-14 10:32:45 (55세 ,남자) ※ 기준담보/권장금액 : 기본형(37개)/표준형 삼성화재</t>
        </is>
      </c>
    </row>
    <row r="3">
      <c r="B3" t="inlineStr">
        <is>
          <t>상품명</t>
        </is>
      </c>
      <c r="C3" t="inlineStr">
        <is>
          <t>무배당 삼성화재 건강보험 유병장수플러스(1910.5)3종(유병자,실속형)(자동갱신형)</t>
        </is>
      </c>
    </row>
    <row r="4">
      <c r="B4" t="inlineStr">
        <is>
          <t>계약일자</t>
        </is>
      </c>
      <c r="C4" t="inlineStr">
        <is>
          <t>2020.01.08</t>
        </is>
      </c>
    </row>
    <row r="5">
      <c r="B5" t="inlineStr">
        <is>
          <t>납입기간</t>
        </is>
      </c>
      <c r="C5" t="inlineStr"/>
    </row>
    <row r="6">
      <c r="B6" t="inlineStr">
        <is>
          <t>보험료</t>
        </is>
      </c>
      <c r="C6" t="inlineStr">
        <is>
          <t>66,000원</t>
        </is>
      </c>
    </row>
    <row r="10" ht="80" customHeight="1" s="260">
      <c r="B10" s="457" t="inlineStr">
        <is>
          <t>상해사망	[유병자형]상해	1,000만	정액
일반암 진단비	[유병자형]암	4,000만	정액
일반암 진단비	[유병자형]유사암	3,000만	정액
미분류	[유병자형]상해	15만	정액</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style="260" min="2" max="2"/>
    <col width="35" customWidth="1" style="260" min="3" max="3"/>
  </cols>
  <sheetData>
    <row r="2">
      <c r="B2" t="inlineStr">
        <is>
          <t>보험사</t>
        </is>
      </c>
      <c r="C2" t="inlineStr">
        <is>
          <t>서상웅 님의 상품별 가입담보상세 2026-05-14 10:32:45 (55세 ,남자) ※ 기준담보/권장금액 : 기본형(37개)/표준형 삼성화재</t>
        </is>
      </c>
    </row>
    <row r="3">
      <c r="B3" t="inlineStr">
        <is>
          <t>상품명</t>
        </is>
      </c>
      <c r="C3" t="inlineStr">
        <is>
          <t>무배당 삼성화재 간편보험 새로고침100세(2404.3) 4종(해약환급금 미지급형)</t>
        </is>
      </c>
    </row>
    <row r="4">
      <c r="B4" t="inlineStr">
        <is>
          <t>계약일자</t>
        </is>
      </c>
      <c r="C4" t="inlineStr">
        <is>
          <t>2024.12.13</t>
        </is>
      </c>
    </row>
    <row r="5">
      <c r="B5" t="inlineStr">
        <is>
          <t>납입기간</t>
        </is>
      </c>
      <c r="C5" t="inlineStr"/>
    </row>
    <row r="6">
      <c r="B6" t="inlineStr">
        <is>
          <t>보험료</t>
        </is>
      </c>
      <c r="C6" t="inlineStr">
        <is>
          <t>66,071원</t>
        </is>
      </c>
    </row>
    <row r="10" ht="324" customHeight="1" s="260">
      <c r="B10" s="457" t="inlineStr">
        <is>
          <t>상해사망	[간편]상해	100만	정액
질병입원일당	[간편]질병 종합병원 입원일당(1일이상)(1년50%)	2만	정액
질병입원일당	[간편]질병 입원 간병인 사용일당(1일이상)(요양병원 제외)(1년50%)	20만	정액
미분류	[간편]질병 입원 간호·간병통합서비스 사용일당(1일이상)(1년50%)	7만	정액
상해입원일당	[간편]상해	20만	정액
미분류	[간편]상해	7만	정액
질병입원일당	[간편]상급종합병원 1인실 입원일당(1일이상, 30일한도)(1년50%)	40만	정액
질병입원일당	[간편]상급종합병원 2~3인실 입원일당(1일이상, 30일한도)(1년50%)	5만	정액
질병입원일당	[간편]종합병원 1인실 입원일당(1일이상, 30일한도)(1년50%)	20만	정액
질병입원일당	[간편]종합병원 2~3인실 입원일당(1일이상, 30일한도)(1년50%)	5만	정액
상해입원일당	[간편]상급종합병원 1인실 입원일당(1일이상, 30일한도)(1년50%)	40만	정액
상해입원일당	[간편]상급종합병원 2~3인실 입원일당(1일이상, 30일한도)(1년50%)	5만	정액
상해입원일당	[간편]종합병원 1인실 입원일당(1일이상, 30일한도)(1년50%)	20만	정액
상해입원일당	[간편]종합병원 2~3인실 입원일당(1일이상, 30일한도)(1년50%)	5만	정액
간병인 입원일당	[간편]상해 입원 간병인 사용일당(181일이상,요양/정신/한방제외)	15만	정액
미분류	[간편]상해입원간호간병통합서비스사용일당(181일이상,요양/정신/한방제외)	7만	정액
간병인 입원일당	[간편]질병 입원 간병인 사용일당(181일이상,요양/정신/한방제외,1년감액)	15만	정액
미분류	[간편]질병입원간호간병통합서비스사용일당(181일이상,요양/정신/한방제외,1년감액)	7만	정액</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style="260" min="2" max="2"/>
    <col width="35" customWidth="1" style="260" min="3" max="3"/>
  </cols>
  <sheetData>
    <row r="2">
      <c r="B2" t="inlineStr">
        <is>
          <t>보험사</t>
        </is>
      </c>
      <c r="C2" t="inlineStr">
        <is>
          <t>서상웅 님의 상품별 가입담보상세 2026-05-14 10:32:45 (55세 ,남자) ※ 기준담보/권장금액 : 기본형(37개)/표준형 하나손보</t>
        </is>
      </c>
    </row>
    <row r="3">
      <c r="B3" t="inlineStr">
        <is>
          <t>상품명</t>
        </is>
      </c>
      <c r="C3" t="inlineStr">
        <is>
          <t>무배당 하나 가득담은 운전자보험(2309)</t>
        </is>
      </c>
    </row>
    <row r="4">
      <c r="B4" t="inlineStr">
        <is>
          <t>계약일자</t>
        </is>
      </c>
      <c r="C4" t="inlineStr">
        <is>
          <t>2023.11.23</t>
        </is>
      </c>
    </row>
    <row r="5">
      <c r="B5" t="inlineStr">
        <is>
          <t>납입기간</t>
        </is>
      </c>
      <c r="C5" t="inlineStr"/>
    </row>
    <row r="6">
      <c r="B6" t="inlineStr">
        <is>
          <t>보험료</t>
        </is>
      </c>
      <c r="C6" t="inlineStr">
        <is>
          <t>33,618원</t>
        </is>
      </c>
    </row>
    <row r="10" ht="432" customHeight="1" s="260">
      <c r="B10" s="457" t="inlineStr">
        <is>
          <t>상해사망	일반상해사망	5,000만	정액
후유장해	일반상해후유장해(3~100%)	1억	정액
후유장해	교통상해50%이상후유장해생활지원금(10년,월지급형)	6,000만	정액
골절/화상	골절진단비(치아파절제외)	20만	정액
골절/화상	골절진단비(치아파절포함)	30만	정액
골절/화상	화상진단비	30만	정액
골절/화상	5대골절진단비	200만	정액
상해수술비	상해수술비	150만	정액
골절/화상	골절수술비	30만	정액
골절/화상	화상수술비	30만	정액
상해수술비	상해수술비(1~8종,연간1회한)(8종)	2,000만	정액
상해수술비	5대골절수술비	200만	정액
미분류	일반상해중환자실입원일당(1일이상180일한도)	20만	정액
상해입원일당	교통상해입원일당(1일이상180일한도)	3만	정액
상해입원일당	신주말교통상해입원일당(1일이상180일한도)	1만	정액
상해입원일당	일반상해상급종합병원입원일당(1일이상180일한도)	5만	정액
상해수술비	일반상해수술입원일당(1일이상10일한도)	3만	정액
운전자 담보	자동차사고부상치료비I	30만	정액
미분류	깁스치료비	20만	정액
운전자 담보	자동차사고부상치료비(1~11급)	500만	정액
운전자 담보	자동차사고부상치료비(1~7급)	500만	정액
운전자 담보	과실치사상	700만	실손
운전자 담보	업무상과실	2,000만	실손
미분류	가족생활배상책임	1억	실손</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style="260" min="2" max="2"/>
    <col width="35" customWidth="1" style="260" min="3" max="3"/>
  </cols>
  <sheetData>
    <row r="2">
      <c r="B2" t="inlineStr">
        <is>
          <t>보험사</t>
        </is>
      </c>
      <c r="C2" t="inlineStr">
        <is>
          <t>서상웅 님의 상품별 가입담보상세 2026-05-14 10:32:45 (55세 ,남자) ※ 기준담보/권장금액 : 기본형(37개)/표준형 ABL생명</t>
        </is>
      </c>
    </row>
    <row r="3">
      <c r="B3" t="inlineStr">
        <is>
          <t>상품명</t>
        </is>
      </c>
      <c r="C3" t="inlineStr">
        <is>
          <t>DIY(무)ABL THE건강통합보험(갱신형)(간편심사형)2205</t>
        </is>
      </c>
    </row>
    <row r="4">
      <c r="B4" t="inlineStr">
        <is>
          <t>계약일자</t>
        </is>
      </c>
      <c r="C4" t="inlineStr">
        <is>
          <t>2023.02.14</t>
        </is>
      </c>
    </row>
    <row r="5">
      <c r="B5" t="inlineStr">
        <is>
          <t>납입기간</t>
        </is>
      </c>
      <c r="C5" t="inlineStr"/>
    </row>
    <row r="6">
      <c r="B6" t="inlineStr">
        <is>
          <t>보험료</t>
        </is>
      </c>
      <c r="C6" t="inlineStr">
        <is>
          <t>21,866원</t>
        </is>
      </c>
    </row>
    <row r="10" ht="90" customHeight="1" s="260">
      <c r="B10" s="457" t="inlineStr">
        <is>
          <t>상해사망	SI재해사망	100만	정액
미분류	SI질병종수술	250만	정액
미분류	SI상해종수술	250만	정액
질병입원일당	SI입원비	3만	정액
상해입원일당	SI입원비	3만	정액</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style="260" min="2" max="2"/>
    <col width="35" customWidth="1" style="260" min="3" max="3"/>
  </cols>
  <sheetData>
    <row r="2">
      <c r="B2" t="inlineStr">
        <is>
          <t>보험사</t>
        </is>
      </c>
      <c r="C2" t="inlineStr">
        <is>
          <t>서상웅 님의 상품별 가입담보상세 2026-05-14 10:32:45 (55세 ,남자) ※ 기준담보/권장금액 : 기본형(37개)/표준형 미래에셋생명</t>
        </is>
      </c>
    </row>
    <row r="3">
      <c r="B3" t="inlineStr">
        <is>
          <t>상품명</t>
        </is>
      </c>
      <c r="C3" t="inlineStr">
        <is>
          <t>M-케어 건강보험(간편고지형(0),갱신형) 무배당</t>
        </is>
      </c>
    </row>
    <row r="4">
      <c r="B4" t="inlineStr">
        <is>
          <t>계약일자</t>
        </is>
      </c>
      <c r="C4" t="inlineStr">
        <is>
          <t>2026.01.26</t>
        </is>
      </c>
    </row>
    <row r="5">
      <c r="B5" t="inlineStr">
        <is>
          <t>납입기간</t>
        </is>
      </c>
      <c r="C5" t="inlineStr"/>
    </row>
    <row r="6">
      <c r="B6" t="inlineStr">
        <is>
          <t>보험료</t>
        </is>
      </c>
      <c r="C6" t="inlineStr">
        <is>
          <t>50,869원</t>
        </is>
      </c>
    </row>
    <row r="10" ht="216" customHeight="1" s="260">
      <c r="B10" s="457" t="inlineStr">
        <is>
          <t>상해사망	M-케어 건강보험(간편고지형(0),	2,000만	정액
질병수술비	질병수술특약(간편고지형(0),	10만	정액
미분류	1-5종수술특약(1종)(간편고지형(0),	20만	정액
미분류	1-5종수술특약(2종)(간편고지형(0),	40만	정액
미분류	1-5종수술특약(3종)(간편고지형(0),	300만	정액
미분류	1-5종수술특약(4종)(간편고지형(0),	500만	정액
미분류	1-5종수술특약(5종)(간편고지형(0),	1,000만	정액
미분류	1-5종수술특약(1종)(간편고지형(0),	20만	정액
미분류	1-5종수술특약(2종)(간편고지형(0),	40만	정액
미분류	1-5종수술특약(3종)(간편고지형(0),	300만	정액
미분류	1-5종수술특약(4종)(간편고지형(0),	500만	정액
미분류	1-5종수술특약(5종)(간편고지형(0),	1,000만	정액</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style="260" min="2" max="2"/>
    <col width="35" customWidth="1" style="260" min="3" max="3"/>
  </cols>
  <sheetData>
    <row r="2">
      <c r="B2" t="inlineStr">
        <is>
          <t>보험사</t>
        </is>
      </c>
      <c r="C2" t="inlineStr">
        <is>
          <t>서상웅 님의 상품별 가입담보상세 2026-05-14 10:32:45 (55세 ,남자) ※ 기준담보/권장금액 : 기본형(37개)/표준형 미래에셋생명</t>
        </is>
      </c>
    </row>
    <row r="3">
      <c r="B3" t="inlineStr">
        <is>
          <t>상품명</t>
        </is>
      </c>
      <c r="C3" t="inlineStr">
        <is>
          <t>M-케어 건강보험(3.10.5 간편고지, 갱신형) 무배당</t>
        </is>
      </c>
    </row>
    <row r="4">
      <c r="B4" t="inlineStr">
        <is>
          <t>계약일자</t>
        </is>
      </c>
      <c r="C4" t="inlineStr">
        <is>
          <t>2026.01.26</t>
        </is>
      </c>
    </row>
    <row r="5">
      <c r="B5" t="inlineStr">
        <is>
          <t>납입기간</t>
        </is>
      </c>
      <c r="C5" t="inlineStr"/>
    </row>
    <row r="6">
      <c r="B6" t="inlineStr">
        <is>
          <t>보험료</t>
        </is>
      </c>
      <c r="C6" t="inlineStr">
        <is>
          <t>101,522원</t>
        </is>
      </c>
    </row>
    <row r="10" ht="216" customHeight="1" s="260">
      <c r="B10" s="457" t="inlineStr">
        <is>
          <t>상해사망	M-케어 건강보험(3.10.5 간편고지,	2,000만	정액
일반암 진단비	암(유사암제외)진단특약(3.10.5 간편고지,	5,000만	정액
일반암 진단비	유사암진단특약(3.10.5 간편고지,	1,000만	정액
항암방사선치료비	항암방사선치료특약(3.10.5 간편고지,	1,000만	정액
항암방사선치료비	항암약물치료특약(3.10.5 간편고지,	1,000만	정액
항암방사선치료비	항암호르몬약물치료비특약(연간1회한)(3.10.5 간편고지,	300만	정액
항암약물치료비	특정면역항암약물허가치료특약(3.10.5 간편고지,	5,000만	정액
항암약물치료비	표적항암약물허가치료특약(3.10.5 간편고지,	5,000만	정액
세기조절방사선치료비	항암 세기조절방사선치료특약(3.10.5 간편고지,	1,000만	정액
양성자치료비	항암 양성자방사선치료특약(3.10.5 간편고지,	2,000만	정액
미분류	항암 정위방사선치료특약(3.10.5 간편고지,	2,000만	정액
중입자치료비	항암 중입자방사선치료특약(3.10.5 간편고지,	5,000만	정액</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style="260" min="2" max="2"/>
    <col width="35" customWidth="1" style="260" min="3" max="3"/>
  </cols>
  <sheetData>
    <row r="2">
      <c r="B2" t="inlineStr">
        <is>
          <t>보험사</t>
        </is>
      </c>
      <c r="C2" t="inlineStr">
        <is>
          <t>서상웅 님의 상품별 가입담보상세 2026-05-14 10:32:45 (55세 ,남자) ※ 기준담보/권장금액 : 기본형(37개)/표준형 NH농협생명</t>
        </is>
      </c>
    </row>
    <row r="3">
      <c r="B3" t="inlineStr">
        <is>
          <t>상품명</t>
        </is>
      </c>
      <c r="C3" t="inlineStr"/>
    </row>
    <row r="4">
      <c r="B4" t="inlineStr">
        <is>
          <t>계약일자</t>
        </is>
      </c>
      <c r="C4" t="inlineStr">
        <is>
          <t>2025.08.29</t>
        </is>
      </c>
    </row>
    <row r="5">
      <c r="B5" t="inlineStr">
        <is>
          <t>납입기간</t>
        </is>
      </c>
      <c r="C5" t="inlineStr"/>
    </row>
    <row r="6">
      <c r="B6" t="inlineStr">
        <is>
          <t>보험료</t>
        </is>
      </c>
      <c r="C6" t="inlineStr">
        <is>
          <t>96,500원</t>
        </is>
      </c>
    </row>
    <row r="10" ht="216" customHeight="1" s="260">
      <c r="B10" s="457" t="inlineStr">
        <is>
          <t>미분류	특정질병사망	6,100만	정액
상해사망	특정상해사망	6,100만	정액
후유장해	특정질병후유장해	6,000만	정액
후유장해	특정상해후유장해	6,000만	정액
미분류	특정질병진단	30만	정액
미분류	특정상해진단	30만	정액
미분류	기타수술	30만	정액
상해입원일당	특정상해입원일당	2만	정액
미분류	기타입원일당	2만	정액
실손의료비	농업작업안전	5,000만	실손
실손의료비	농업작업안전	10만	실손
실손의료비	농업작업안전	20만	실손</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6" customWidth="1" style="260" min="1" max="1"/>
    <col width="13" customWidth="1" style="260" min="2" max="2"/>
    <col width="13" customWidth="1" style="260" min="3" max="3"/>
    <col width="18" customWidth="1" style="260" min="4" max="4"/>
    <col width="18" customWidth="1" style="260" min="5" max="5"/>
    <col width="22" customWidth="1" style="260" min="6" max="6"/>
  </cols>
  <sheetData>
    <row r="1">
      <c r="A1" s="458" t="inlineStr">
        <is>
          <t>customer_name</t>
        </is>
      </c>
      <c r="B1" s="458" t="inlineStr">
        <is>
          <t>age</t>
        </is>
      </c>
      <c r="C1" s="458" t="inlineStr">
        <is>
          <t>gender</t>
        </is>
      </c>
      <c r="D1" s="458" t="inlineStr">
        <is>
          <t>total_contracts</t>
        </is>
      </c>
      <c r="E1" s="458" t="inlineStr">
        <is>
          <t>monthly_premium</t>
        </is>
      </c>
      <c r="F1" s="458" t="inlineStr">
        <is>
          <t>created_at</t>
        </is>
      </c>
    </row>
    <row r="2">
      <c r="A2" s="459" t="inlineStr"/>
      <c r="B2" s="459" t="inlineStr"/>
      <c r="C2" s="459" t="inlineStr"/>
      <c r="D2" s="459" t="inlineStr"/>
      <c r="E2" s="459" t="inlineStr">
        <is>
          <t>4556674</t>
        </is>
      </c>
      <c r="F2" s="459" t="inlineStr">
        <is>
          <t>2026-05-14 10:32:45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3" customWidth="1" style="260" min="1" max="1"/>
    <col width="13" customWidth="1" style="260" min="2" max="2"/>
    <col width="28" customWidth="1" style="260" min="3" max="3"/>
    <col width="16" customWidth="1" style="260" min="4" max="4"/>
    <col width="13" customWidth="1" style="260" min="5" max="5"/>
    <col width="13" customWidth="1" style="260" min="6" max="6"/>
    <col width="13" customWidth="1" style="260" min="7" max="7"/>
    <col width="13" customWidth="1" style="260" min="8" max="8"/>
    <col width="17" customWidth="1" style="260" min="9" max="9"/>
  </cols>
  <sheetData>
    <row r="1">
      <c r="A1" s="458" t="inlineStr">
        <is>
          <t>no</t>
        </is>
      </c>
      <c r="B1" s="458" t="inlineStr">
        <is>
          <t>insurer</t>
        </is>
      </c>
      <c r="C1" s="458" t="inlineStr">
        <is>
          <t>product</t>
        </is>
      </c>
      <c r="D1" s="458" t="inlineStr">
        <is>
          <t>contract_date</t>
        </is>
      </c>
      <c r="E1" s="458" t="inlineStr">
        <is>
          <t>pay_cycle</t>
        </is>
      </c>
      <c r="F1" s="458" t="inlineStr">
        <is>
          <t>pay_period</t>
        </is>
      </c>
      <c r="G1" s="458" t="inlineStr">
        <is>
          <t>maturity</t>
        </is>
      </c>
      <c r="H1" s="458" t="inlineStr">
        <is>
          <t>premium</t>
        </is>
      </c>
      <c r="I1" s="458" t="inlineStr">
        <is>
          <t>premium_number</t>
        </is>
      </c>
    </row>
    <row r="2">
      <c r="A2" s="459" t="inlineStr">
        <is>
          <t>1</t>
        </is>
      </c>
      <c r="B2" s="459" t="inlineStr">
        <is>
          <t>(무)</t>
        </is>
      </c>
      <c r="C2" s="459" t="inlineStr">
        <is>
          <t>메리츠 운전자 상해 종합보험2411</t>
        </is>
      </c>
      <c r="D2" s="459" t="inlineStr">
        <is>
          <t>2024-12-13</t>
        </is>
      </c>
      <c r="E2" s="459" t="inlineStr">
        <is>
          <t>월납</t>
        </is>
      </c>
      <c r="F2" s="459" t="inlineStr">
        <is>
          <t>20년</t>
        </is>
      </c>
      <c r="G2" s="459" t="inlineStr">
        <is>
          <t>74세</t>
        </is>
      </c>
      <c r="H2" s="459" t="inlineStr">
        <is>
          <t>12,440원</t>
        </is>
      </c>
      <c r="I2" s="459" t="n">
        <v>12440</v>
      </c>
    </row>
    <row r="3">
      <c r="A3" s="459" t="inlineStr">
        <is>
          <t>2</t>
        </is>
      </c>
      <c r="B3" s="459" t="inlineStr">
        <is>
          <t>롯데손보</t>
        </is>
      </c>
      <c r="C3" s="459" t="inlineStr">
        <is>
          <t>무배당 let:drive 운전자보험(2411)</t>
        </is>
      </c>
      <c r="D3" s="459" t="inlineStr">
        <is>
          <t>2024-12-12</t>
        </is>
      </c>
      <c r="E3" s="459" t="inlineStr">
        <is>
          <t>월납</t>
        </is>
      </c>
      <c r="F3" s="459" t="inlineStr">
        <is>
          <t>20년</t>
        </is>
      </c>
      <c r="G3" s="459" t="inlineStr">
        <is>
          <t>74세</t>
        </is>
      </c>
      <c r="H3" s="459" t="inlineStr">
        <is>
          <t>17,000원</t>
        </is>
      </c>
      <c r="I3" s="459" t="n">
        <v>17000</v>
      </c>
    </row>
    <row r="4">
      <c r="A4" s="459" t="inlineStr">
        <is>
          <t>3</t>
        </is>
      </c>
      <c r="B4" s="459" t="inlineStr">
        <is>
          <t>흥국화재</t>
        </is>
      </c>
      <c r="C4" s="459" t="inlineStr">
        <is>
          <t>무배당 행복을 多주는 가족사랑보험(1108)</t>
        </is>
      </c>
      <c r="D4" s="459" t="inlineStr">
        <is>
          <t>2011-09-15</t>
        </is>
      </c>
      <c r="E4" s="459" t="inlineStr">
        <is>
          <t>월납</t>
        </is>
      </c>
      <c r="F4" s="459" t="inlineStr">
        <is>
          <t>20년</t>
        </is>
      </c>
      <c r="G4" s="459" t="inlineStr">
        <is>
          <t>100세</t>
        </is>
      </c>
      <c r="H4" s="459" t="inlineStr">
        <is>
          <t>71,473원</t>
        </is>
      </c>
      <c r="I4" s="459" t="n">
        <v>71473</v>
      </c>
    </row>
    <row r="5">
      <c r="A5" s="459" t="inlineStr">
        <is>
          <t>7</t>
        </is>
      </c>
      <c r="B5" s="459" t="inlineStr">
        <is>
          <t>하나손보</t>
        </is>
      </c>
      <c r="C5" s="459" t="inlineStr">
        <is>
          <t>무배당 하나 가득담은 운전자보험(2309)</t>
        </is>
      </c>
      <c r="D5" s="459" t="inlineStr">
        <is>
          <t>2023-11-23</t>
        </is>
      </c>
      <c r="E5" s="459" t="inlineStr">
        <is>
          <t>월납</t>
        </is>
      </c>
      <c r="F5" s="459" t="inlineStr">
        <is>
          <t>20년</t>
        </is>
      </c>
      <c r="G5" s="459" t="inlineStr">
        <is>
          <t>73세</t>
        </is>
      </c>
      <c r="H5" s="459" t="inlineStr">
        <is>
          <t>33,618원</t>
        </is>
      </c>
      <c r="I5" s="459" t="n">
        <v>33618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64"/>
  <sheetViews>
    <sheetView workbookViewId="0">
      <pane ySplit="1" topLeftCell="A2" activePane="bottomLeft" state="frozen"/>
      <selection pane="bottomLeft" activeCell="A1" sqref="A1"/>
    </sheetView>
  </sheetViews>
  <sheetFormatPr baseColWidth="8" defaultRowHeight="15"/>
  <cols>
    <col width="13" customWidth="1" style="260" min="1" max="1"/>
    <col width="13" customWidth="1" style="260" min="2" max="2"/>
    <col width="45" customWidth="1" style="260" min="3" max="3"/>
    <col width="45" customWidth="1" style="260" min="4" max="4"/>
    <col width="13" customWidth="1" style="260" min="5" max="5"/>
    <col width="13" customWidth="1" style="260" min="6" max="6"/>
    <col width="16" customWidth="1" style="260" min="7" max="7"/>
    <col width="45" customWidth="1" style="260" min="8" max="8"/>
    <col width="16" customWidth="1" style="260" min="9" max="9"/>
    <col width="45" customWidth="1" style="260" min="10" max="10"/>
    <col width="13" customWidth="1" style="260" min="11" max="11"/>
    <col width="17" customWidth="1" style="260" min="12" max="12"/>
    <col width="18" customWidth="1" style="260" min="13" max="13"/>
  </cols>
  <sheetData>
    <row r="1">
      <c r="A1" s="458" t="inlineStr">
        <is>
          <t>no</t>
        </is>
      </c>
      <c r="B1" s="458" t="inlineStr">
        <is>
          <t>pay_type</t>
        </is>
      </c>
      <c r="C1" s="458" t="inlineStr">
        <is>
          <t>coverage_name</t>
        </is>
      </c>
      <c r="D1" s="458" t="inlineStr">
        <is>
          <t>category</t>
        </is>
      </c>
      <c r="E1" s="458" t="inlineStr">
        <is>
          <t>amount</t>
        </is>
      </c>
      <c r="F1" s="458" t="inlineStr">
        <is>
          <t>page_no</t>
        </is>
      </c>
      <c r="G1" s="458" t="inlineStr">
        <is>
          <t>amount_number</t>
        </is>
      </c>
      <c r="H1" s="458" t="inlineStr">
        <is>
          <t>insurer</t>
        </is>
      </c>
      <c r="I1" s="458" t="inlineStr">
        <is>
          <t>contract_date</t>
        </is>
      </c>
      <c r="J1" s="458" t="inlineStr">
        <is>
          <t>product_name</t>
        </is>
      </c>
      <c r="K1" s="458" t="inlineStr">
        <is>
          <t>premium</t>
        </is>
      </c>
      <c r="L1" s="458" t="inlineStr">
        <is>
          <t>premium_number</t>
        </is>
      </c>
      <c r="M1" s="458" t="inlineStr">
        <is>
          <t>mapped_category</t>
        </is>
      </c>
    </row>
    <row r="2">
      <c r="A2" s="459" t="inlineStr">
        <is>
          <t>1</t>
        </is>
      </c>
      <c r="B2" s="459" t="inlineStr">
        <is>
          <t>정액</t>
        </is>
      </c>
      <c r="C2" s="459" t="inlineStr">
        <is>
          <t>운전자용</t>
        </is>
      </c>
      <c r="D2" s="459" t="inlineStr">
        <is>
          <t>교통상해사망[기본계약] 교통상해사망</t>
        </is>
      </c>
      <c r="E2" s="459" t="inlineStr">
        <is>
          <t>1,000만</t>
        </is>
      </c>
      <c r="F2" s="459" t="n">
        <v>2</v>
      </c>
      <c r="G2" s="459" t="n">
        <v>10000000</v>
      </c>
      <c r="H2" s="459" t="inlineStr">
        <is>
          <t>서상웅 님의 상품별 가입담보상세 2026-05-14 10:32:45 (55세 ,남자) ※ 기준담보/권장금액 : 기본형(37개)/표준형 메리츠화재</t>
        </is>
      </c>
      <c r="I2" s="459" t="inlineStr">
        <is>
          <t>2024-12-13</t>
        </is>
      </c>
      <c r="J2" s="459" t="inlineStr">
        <is>
          <t>(무) 메리츠 운전자 상해 종합보험2411</t>
        </is>
      </c>
      <c r="K2" s="459" t="inlineStr">
        <is>
          <t>12,440원</t>
        </is>
      </c>
      <c r="L2" s="459" t="n">
        <v>12440</v>
      </c>
      <c r="M2" s="459" t="inlineStr">
        <is>
          <t>상해사망</t>
        </is>
      </c>
    </row>
    <row r="3">
      <c r="A3" s="459" t="inlineStr">
        <is>
          <t>2</t>
        </is>
      </c>
      <c r="B3" s="459" t="inlineStr">
        <is>
          <t>정액</t>
        </is>
      </c>
      <c r="C3" s="459" t="inlineStr">
        <is>
          <t>외모특정상해수술비[기본계약]</t>
        </is>
      </c>
      <c r="D3" s="459" t="inlineStr">
        <is>
          <t>특정상해수술</t>
        </is>
      </c>
      <c r="E3" s="459" t="inlineStr">
        <is>
          <t>10만</t>
        </is>
      </c>
      <c r="F3" s="459" t="n">
        <v>2</v>
      </c>
      <c r="G3" s="459" t="n">
        <v>100000</v>
      </c>
      <c r="H3" s="459" t="inlineStr">
        <is>
          <t>서상웅 님의 상품별 가입담보상세 2026-05-14 10:32:45 (55세 ,남자) ※ 기준담보/권장금액 : 기본형(37개)/표준형 메리츠화재</t>
        </is>
      </c>
      <c r="I3" s="459" t="inlineStr">
        <is>
          <t>2024-12-13</t>
        </is>
      </c>
      <c r="J3" s="459" t="inlineStr">
        <is>
          <t>(무) 메리츠 운전자 상해 종합보험2411</t>
        </is>
      </c>
      <c r="K3" s="459" t="inlineStr">
        <is>
          <t>12,440원</t>
        </is>
      </c>
      <c r="L3" s="459" t="n">
        <v>12440</v>
      </c>
      <c r="M3" s="459" t="inlineStr">
        <is>
          <t>상해수술비</t>
        </is>
      </c>
    </row>
    <row r="4">
      <c r="A4" s="459" t="inlineStr">
        <is>
          <t>3</t>
        </is>
      </c>
      <c r="B4" s="459" t="inlineStr">
        <is>
          <t>실손</t>
        </is>
      </c>
      <c r="C4" s="459" t="inlineStr">
        <is>
          <t>화재벌금담보</t>
        </is>
      </c>
      <c r="D4" s="459" t="inlineStr">
        <is>
          <t>화재벌금담보</t>
        </is>
      </c>
      <c r="E4" s="459" t="inlineStr">
        <is>
          <t>2,000만</t>
        </is>
      </c>
      <c r="F4" s="459" t="n">
        <v>2</v>
      </c>
      <c r="G4" s="459" t="n">
        <v>20000000</v>
      </c>
      <c r="H4" s="459" t="inlineStr">
        <is>
          <t>서상웅 님의 상품별 가입담보상세 2026-05-14 10:32:45 (55세 ,남자) ※ 기준담보/권장금액 : 기본형(37개)/표준형 메리츠화재</t>
        </is>
      </c>
      <c r="I4" s="459" t="inlineStr">
        <is>
          <t>2024-12-13</t>
        </is>
      </c>
      <c r="J4" s="459" t="inlineStr">
        <is>
          <t>(무) 메리츠 운전자 상해 종합보험2411</t>
        </is>
      </c>
      <c r="K4" s="459" t="inlineStr">
        <is>
          <t>12,440원</t>
        </is>
      </c>
      <c r="L4" s="459" t="n">
        <v>12440</v>
      </c>
      <c r="M4" s="459" t="inlineStr">
        <is>
          <t>운전자 담보</t>
        </is>
      </c>
    </row>
    <row r="5">
      <c r="A5" s="459" t="inlineStr">
        <is>
          <t>4</t>
        </is>
      </c>
      <c r="B5" s="459" t="inlineStr">
        <is>
          <t>실손</t>
        </is>
      </c>
      <c r="C5" s="459" t="inlineStr">
        <is>
          <t>가전제품고장수리비용</t>
        </is>
      </c>
      <c r="D5" s="459" t="inlineStr">
        <is>
          <t>가전제품고장수리비용</t>
        </is>
      </c>
      <c r="E5" s="459" t="inlineStr">
        <is>
          <t>100만</t>
        </is>
      </c>
      <c r="F5" s="459" t="n">
        <v>2</v>
      </c>
      <c r="G5" s="459" t="n">
        <v>1000000</v>
      </c>
      <c r="H5" s="459" t="inlineStr">
        <is>
          <t>서상웅 님의 상품별 가입담보상세 2026-05-14 10:32:45 (55세 ,남자) ※ 기준담보/권장금액 : 기본형(37개)/표준형 메리츠화재</t>
        </is>
      </c>
      <c r="I5" s="459" t="inlineStr">
        <is>
          <t>2024-12-13</t>
        </is>
      </c>
      <c r="J5" s="459" t="inlineStr">
        <is>
          <t>(무) 메리츠 운전자 상해 종합보험2411</t>
        </is>
      </c>
      <c r="K5" s="459" t="inlineStr">
        <is>
          <t>12,440원</t>
        </is>
      </c>
      <c r="L5" s="459" t="n">
        <v>12440</v>
      </c>
      <c r="M5" s="459" t="inlineStr">
        <is>
          <t>미분류</t>
        </is>
      </c>
    </row>
    <row r="6">
      <c r="A6" s="459" t="inlineStr">
        <is>
          <t>1</t>
        </is>
      </c>
      <c r="B6" s="459" t="inlineStr">
        <is>
          <t>정액</t>
        </is>
      </c>
      <c r="C6" s="459" t="inlineStr">
        <is>
          <t>골절진단비(치아파절제외)</t>
        </is>
      </c>
      <c r="D6" s="459" t="inlineStr">
        <is>
          <t>골절진단</t>
        </is>
      </c>
      <c r="E6" s="459" t="inlineStr">
        <is>
          <t>10만</t>
        </is>
      </c>
      <c r="F6" s="459" t="n">
        <v>3</v>
      </c>
      <c r="G6" s="459" t="n">
        <v>100000</v>
      </c>
      <c r="H6" s="459" t="inlineStr">
        <is>
          <t>서상웅 님의 상품별 가입담보상세 2026-05-14 10:32:45 (55세 ,남자) ※ 기준담보/권장금액 : 기본형(37개)/표준형 롯데손보</t>
        </is>
      </c>
      <c r="I6" s="459" t="inlineStr">
        <is>
          <t>2024-12-12</t>
        </is>
      </c>
      <c r="J6" s="459" t="inlineStr">
        <is>
          <t>무배당 let:drive 운전자보험(2411)</t>
        </is>
      </c>
      <c r="K6" s="459" t="inlineStr">
        <is>
          <t>17,000원</t>
        </is>
      </c>
      <c r="L6" s="459" t="n">
        <v>17000</v>
      </c>
      <c r="M6" s="459" t="inlineStr">
        <is>
          <t>골절/화상</t>
        </is>
      </c>
    </row>
    <row r="7">
      <c r="A7" s="459" t="inlineStr">
        <is>
          <t>2</t>
        </is>
      </c>
      <c r="B7" s="459" t="inlineStr">
        <is>
          <t>정액</t>
        </is>
      </c>
      <c r="C7" s="459" t="inlineStr">
        <is>
          <t>골절진단비(치아파절포함)</t>
        </is>
      </c>
      <c r="D7" s="459" t="inlineStr">
        <is>
          <t>골절진단</t>
        </is>
      </c>
      <c r="E7" s="459" t="inlineStr">
        <is>
          <t>10만</t>
        </is>
      </c>
      <c r="F7" s="459" t="n">
        <v>3</v>
      </c>
      <c r="G7" s="459" t="n">
        <v>100000</v>
      </c>
      <c r="H7" s="459" t="inlineStr">
        <is>
          <t>서상웅 님의 상품별 가입담보상세 2026-05-14 10:32:45 (55세 ,남자) ※ 기준담보/권장금액 : 기본형(37개)/표준형 롯데손보</t>
        </is>
      </c>
      <c r="I7" s="459" t="inlineStr">
        <is>
          <t>2024-12-12</t>
        </is>
      </c>
      <c r="J7" s="459" t="inlineStr">
        <is>
          <t>무배당 let:drive 운전자보험(2411)</t>
        </is>
      </c>
      <c r="K7" s="459" t="inlineStr">
        <is>
          <t>17,000원</t>
        </is>
      </c>
      <c r="L7" s="459" t="n">
        <v>17000</v>
      </c>
      <c r="M7" s="459" t="inlineStr">
        <is>
          <t>골절/화상</t>
        </is>
      </c>
    </row>
    <row r="8">
      <c r="A8" s="459" t="inlineStr">
        <is>
          <t>3</t>
        </is>
      </c>
      <c r="B8" s="459" t="inlineStr">
        <is>
          <t>정액</t>
        </is>
      </c>
      <c r="C8" s="459" t="inlineStr">
        <is>
          <t>5대골절진단비</t>
        </is>
      </c>
      <c r="D8" s="459" t="inlineStr">
        <is>
          <t>중대골절진단</t>
        </is>
      </c>
      <c r="E8" s="459" t="inlineStr">
        <is>
          <t>50만</t>
        </is>
      </c>
      <c r="F8" s="459" t="n">
        <v>3</v>
      </c>
      <c r="G8" s="459" t="n">
        <v>500000</v>
      </c>
      <c r="H8" s="459" t="inlineStr">
        <is>
          <t>서상웅 님의 상품별 가입담보상세 2026-05-14 10:32:45 (55세 ,남자) ※ 기준담보/권장금액 : 기본형(37개)/표준형 롯데손보</t>
        </is>
      </c>
      <c r="I8" s="459" t="inlineStr">
        <is>
          <t>2024-12-12</t>
        </is>
      </c>
      <c r="J8" s="459" t="inlineStr">
        <is>
          <t>무배당 let:drive 운전자보험(2411)</t>
        </is>
      </c>
      <c r="K8" s="459" t="inlineStr">
        <is>
          <t>17,000원</t>
        </is>
      </c>
      <c r="L8" s="459" t="n">
        <v>17000</v>
      </c>
      <c r="M8" s="459" t="inlineStr">
        <is>
          <t>골절/화상</t>
        </is>
      </c>
    </row>
    <row r="9">
      <c r="A9" s="459" t="inlineStr">
        <is>
          <t>4</t>
        </is>
      </c>
      <c r="B9" s="459" t="inlineStr">
        <is>
          <t>정액</t>
        </is>
      </c>
      <c r="C9" s="459" t="inlineStr">
        <is>
          <t>상해수술비</t>
        </is>
      </c>
      <c r="D9" s="459" t="inlineStr">
        <is>
          <t>상해수술</t>
        </is>
      </c>
      <c r="E9" s="459" t="inlineStr">
        <is>
          <t>50만</t>
        </is>
      </c>
      <c r="F9" s="459" t="n">
        <v>3</v>
      </c>
      <c r="G9" s="459" t="n">
        <v>500000</v>
      </c>
      <c r="H9" s="459" t="inlineStr">
        <is>
          <t>서상웅 님의 상품별 가입담보상세 2026-05-14 10:32:45 (55세 ,남자) ※ 기준담보/권장금액 : 기본형(37개)/표준형 롯데손보</t>
        </is>
      </c>
      <c r="I9" s="459" t="inlineStr">
        <is>
          <t>2024-12-12</t>
        </is>
      </c>
      <c r="J9" s="459" t="inlineStr">
        <is>
          <t>무배당 let:drive 운전자보험(2411)</t>
        </is>
      </c>
      <c r="K9" s="459" t="inlineStr">
        <is>
          <t>17,000원</t>
        </is>
      </c>
      <c r="L9" s="459" t="n">
        <v>17000</v>
      </c>
      <c r="M9" s="459" t="inlineStr">
        <is>
          <t>상해수술비</t>
        </is>
      </c>
    </row>
    <row r="10">
      <c r="A10" s="459" t="inlineStr">
        <is>
          <t>5</t>
        </is>
      </c>
      <c r="B10" s="459" t="inlineStr">
        <is>
          <t>정액</t>
        </is>
      </c>
      <c r="C10" s="459" t="inlineStr">
        <is>
          <t>골절철심제거수술비(급여,연간1회한)</t>
        </is>
      </c>
      <c r="D10" s="459" t="inlineStr">
        <is>
          <t>기타수술</t>
        </is>
      </c>
      <c r="E10" s="459" t="inlineStr">
        <is>
          <t>50만</t>
        </is>
      </c>
      <c r="F10" s="459" t="n">
        <v>3</v>
      </c>
      <c r="G10" s="459" t="n">
        <v>500000</v>
      </c>
      <c r="H10" s="459" t="inlineStr">
        <is>
          <t>서상웅 님의 상품별 가입담보상세 2026-05-14 10:32:45 (55세 ,남자) ※ 기준담보/권장금액 : 기본형(37개)/표준형 롯데손보</t>
        </is>
      </c>
      <c r="I10" s="459" t="inlineStr">
        <is>
          <t>2024-12-12</t>
        </is>
      </c>
      <c r="J10" s="459" t="inlineStr">
        <is>
          <t>무배당 let:drive 운전자보험(2411)</t>
        </is>
      </c>
      <c r="K10" s="459" t="inlineStr">
        <is>
          <t>17,000원</t>
        </is>
      </c>
      <c r="L10" s="459" t="n">
        <v>17000</v>
      </c>
      <c r="M10" s="459" t="inlineStr">
        <is>
          <t>골절/화상</t>
        </is>
      </c>
    </row>
    <row r="11">
      <c r="A11" s="459" t="inlineStr">
        <is>
          <t>6</t>
        </is>
      </c>
      <c r="B11" s="459" t="inlineStr">
        <is>
          <t>정액</t>
        </is>
      </c>
      <c r="C11" s="459" t="inlineStr">
        <is>
          <t>상해입원비(1일-180일)</t>
        </is>
      </c>
      <c r="D11" s="459" t="inlineStr">
        <is>
          <t>상해입원일당</t>
        </is>
      </c>
      <c r="E11" s="459" t="inlineStr">
        <is>
          <t>2만</t>
        </is>
      </c>
      <c r="F11" s="459" t="n">
        <v>3</v>
      </c>
      <c r="G11" s="459" t="n">
        <v>20000</v>
      </c>
      <c r="H11" s="459" t="inlineStr">
        <is>
          <t>서상웅 님의 상품별 가입담보상세 2026-05-14 10:32:45 (55세 ,남자) ※ 기준담보/권장금액 : 기본형(37개)/표준형 롯데손보</t>
        </is>
      </c>
      <c r="I11" s="459" t="inlineStr">
        <is>
          <t>2024-12-12</t>
        </is>
      </c>
      <c r="J11" s="459" t="inlineStr">
        <is>
          <t>무배당 let:drive 운전자보험(2411)</t>
        </is>
      </c>
      <c r="K11" s="459" t="inlineStr">
        <is>
          <t>17,000원</t>
        </is>
      </c>
      <c r="L11" s="459" t="n">
        <v>17000</v>
      </c>
      <c r="M11" s="459" t="inlineStr">
        <is>
          <t>상해입원일당</t>
        </is>
      </c>
    </row>
    <row r="12">
      <c r="A12" s="459" t="inlineStr">
        <is>
          <t>7</t>
        </is>
      </c>
      <c r="B12" s="459" t="inlineStr">
        <is>
          <t>정액</t>
        </is>
      </c>
      <c r="C12" s="459" t="inlineStr">
        <is>
          <t>교통상해입원비(1일-180일)</t>
        </is>
      </c>
      <c r="D12" s="459" t="inlineStr">
        <is>
          <t>교통상해입원일당</t>
        </is>
      </c>
      <c r="E12" s="459" t="inlineStr">
        <is>
          <t>1만</t>
        </is>
      </c>
      <c r="F12" s="459" t="n">
        <v>3</v>
      </c>
      <c r="G12" s="459" t="n">
        <v>10000</v>
      </c>
      <c r="H12" s="459" t="inlineStr">
        <is>
          <t>서상웅 님의 상품별 가입담보상세 2026-05-14 10:32:45 (55세 ,남자) ※ 기준담보/권장금액 : 기본형(37개)/표준형 롯데손보</t>
        </is>
      </c>
      <c r="I12" s="459" t="inlineStr">
        <is>
          <t>2024-12-12</t>
        </is>
      </c>
      <c r="J12" s="459" t="inlineStr">
        <is>
          <t>무배당 let:drive 운전자보험(2411)</t>
        </is>
      </c>
      <c r="K12" s="459" t="inlineStr">
        <is>
          <t>17,000원</t>
        </is>
      </c>
      <c r="L12" s="459" t="n">
        <v>17000</v>
      </c>
      <c r="M12" s="459" t="inlineStr">
        <is>
          <t>상해입원일당</t>
        </is>
      </c>
    </row>
    <row r="13">
      <c r="A13" s="459" t="inlineStr">
        <is>
          <t>8</t>
        </is>
      </c>
      <c r="B13" s="459" t="inlineStr">
        <is>
          <t>정액</t>
        </is>
      </c>
      <c r="C13" s="459" t="inlineStr">
        <is>
          <t>종합병원상해입원비(1일-180일)</t>
        </is>
      </c>
      <c r="D13" s="459" t="inlineStr">
        <is>
          <t>종합병원이하 상해입원일당</t>
        </is>
      </c>
      <c r="E13" s="459" t="inlineStr">
        <is>
          <t>3만</t>
        </is>
      </c>
      <c r="F13" s="459" t="n">
        <v>3</v>
      </c>
      <c r="G13" s="459" t="n">
        <v>30000</v>
      </c>
      <c r="H13" s="459" t="inlineStr">
        <is>
          <t>서상웅 님의 상품별 가입담보상세 2026-05-14 10:32:45 (55세 ,남자) ※ 기준담보/권장금액 : 기본형(37개)/표준형 롯데손보</t>
        </is>
      </c>
      <c r="I13" s="459" t="inlineStr">
        <is>
          <t>2024-12-12</t>
        </is>
      </c>
      <c r="J13" s="459" t="inlineStr">
        <is>
          <t>무배당 let:drive 운전자보험(2411)</t>
        </is>
      </c>
      <c r="K13" s="459" t="inlineStr">
        <is>
          <t>17,000원</t>
        </is>
      </c>
      <c r="L13" s="459" t="n">
        <v>17000</v>
      </c>
      <c r="M13" s="459" t="inlineStr">
        <is>
          <t>상해입원일당</t>
        </is>
      </c>
    </row>
    <row r="14">
      <c r="A14" s="459" t="inlineStr">
        <is>
          <t>9</t>
        </is>
      </c>
      <c r="B14" s="459" t="inlineStr">
        <is>
          <t>정액</t>
        </is>
      </c>
      <c r="C14" s="459" t="inlineStr">
        <is>
          <t>깁스치료비</t>
        </is>
      </c>
      <c r="D14" s="459" t="inlineStr">
        <is>
          <t>깁스치료</t>
        </is>
      </c>
      <c r="E14" s="459" t="inlineStr">
        <is>
          <t>50만</t>
        </is>
      </c>
      <c r="F14" s="459" t="n">
        <v>3</v>
      </c>
      <c r="G14" s="459" t="n">
        <v>500000</v>
      </c>
      <c r="H14" s="459" t="inlineStr">
        <is>
          <t>서상웅 님의 상품별 가입담보상세 2026-05-14 10:32:45 (55세 ,남자) ※ 기준담보/권장금액 : 기본형(37개)/표준형 롯데손보</t>
        </is>
      </c>
      <c r="I14" s="459" t="inlineStr">
        <is>
          <t>2024-12-12</t>
        </is>
      </c>
      <c r="J14" s="459" t="inlineStr">
        <is>
          <t>무배당 let:drive 운전자보험(2411)</t>
        </is>
      </c>
      <c r="K14" s="459" t="inlineStr">
        <is>
          <t>17,000원</t>
        </is>
      </c>
      <c r="L14" s="459" t="n">
        <v>17000</v>
      </c>
      <c r="M14" s="459" t="inlineStr">
        <is>
          <t>미분류</t>
        </is>
      </c>
    </row>
    <row r="15">
      <c r="A15" s="459" t="inlineStr">
        <is>
          <t>10</t>
        </is>
      </c>
      <c r="B15" s="459" t="inlineStr">
        <is>
          <t>정액</t>
        </is>
      </c>
      <c r="C15" s="459" t="inlineStr">
        <is>
          <t>자동차사고부상Ⅱ(1~3급)</t>
        </is>
      </c>
      <c r="D15" s="459" t="inlineStr">
        <is>
          <t>기타 인보험(정액)담보</t>
        </is>
      </c>
      <c r="E15" s="459" t="inlineStr">
        <is>
          <t>1,000만</t>
        </is>
      </c>
      <c r="F15" s="459" t="n">
        <v>3</v>
      </c>
      <c r="G15" s="459" t="n">
        <v>10000000</v>
      </c>
      <c r="H15" s="459" t="inlineStr">
        <is>
          <t>서상웅 님의 상품별 가입담보상세 2026-05-14 10:32:45 (55세 ,남자) ※ 기준담보/권장금액 : 기본형(37개)/표준형 롯데손보</t>
        </is>
      </c>
      <c r="I15" s="459" t="inlineStr">
        <is>
          <t>2024-12-12</t>
        </is>
      </c>
      <c r="J15" s="459" t="inlineStr">
        <is>
          <t>무배당 let:drive 운전자보험(2411)</t>
        </is>
      </c>
      <c r="K15" s="459" t="inlineStr">
        <is>
          <t>17,000원</t>
        </is>
      </c>
      <c r="L15" s="459" t="n">
        <v>17000</v>
      </c>
      <c r="M15" s="459" t="inlineStr">
        <is>
          <t>운전자 담보</t>
        </is>
      </c>
    </row>
    <row r="16">
      <c r="A16" s="459" t="inlineStr">
        <is>
          <t>11</t>
        </is>
      </c>
      <c r="B16" s="459" t="inlineStr">
        <is>
          <t>정액</t>
        </is>
      </c>
      <c r="C16" s="459" t="inlineStr">
        <is>
          <t>자동차사고부상Ⅱ(1~7급)</t>
        </is>
      </c>
      <c r="D16" s="459" t="inlineStr">
        <is>
          <t>기타 인보험(정액)담보</t>
        </is>
      </c>
      <c r="E16" s="459" t="inlineStr">
        <is>
          <t>1,000만</t>
        </is>
      </c>
      <c r="F16" s="459" t="n">
        <v>3</v>
      </c>
      <c r="G16" s="459" t="n">
        <v>10000000</v>
      </c>
      <c r="H16" s="459" t="inlineStr">
        <is>
          <t>서상웅 님의 상품별 가입담보상세 2026-05-14 10:32:45 (55세 ,남자) ※ 기준담보/권장금액 : 기본형(37개)/표준형 롯데손보</t>
        </is>
      </c>
      <c r="I16" s="459" t="inlineStr">
        <is>
          <t>2024-12-12</t>
        </is>
      </c>
      <c r="J16" s="459" t="inlineStr">
        <is>
          <t>무배당 let:drive 운전자보험(2411)</t>
        </is>
      </c>
      <c r="K16" s="459" t="inlineStr">
        <is>
          <t>17,000원</t>
        </is>
      </c>
      <c r="L16" s="459" t="n">
        <v>17000</v>
      </c>
      <c r="M16" s="459" t="inlineStr">
        <is>
          <t>운전자 담보</t>
        </is>
      </c>
    </row>
    <row r="17">
      <c r="A17" s="459" t="inlineStr">
        <is>
          <t>12</t>
        </is>
      </c>
      <c r="B17" s="459" t="inlineStr">
        <is>
          <t>실손</t>
        </is>
      </c>
      <c r="C17" s="459" t="inlineStr">
        <is>
          <t>교통사고</t>
        </is>
      </c>
      <c r="D17" s="459" t="inlineStr">
        <is>
          <t>처리지원금(6주미만 진단) 교통사고 처리지원금(6주미만 진단)</t>
        </is>
      </c>
      <c r="E17" s="459" t="inlineStr">
        <is>
          <t>1,000만</t>
        </is>
      </c>
      <c r="F17" s="459" t="n">
        <v>3</v>
      </c>
      <c r="G17" s="459" t="n">
        <v>10000000</v>
      </c>
      <c r="H17" s="459" t="inlineStr">
        <is>
          <t>서상웅 님의 상품별 가입담보상세 2026-05-14 10:32:45 (55세 ,남자) ※ 기준담보/권장금액 : 기본형(37개)/표준형 롯데손보</t>
        </is>
      </c>
      <c r="I17" s="459" t="inlineStr">
        <is>
          <t>2024-12-12</t>
        </is>
      </c>
      <c r="J17" s="459" t="inlineStr">
        <is>
          <t>무배당 let:drive 운전자보험(2411)</t>
        </is>
      </c>
      <c r="K17" s="459" t="inlineStr">
        <is>
          <t>17,000원</t>
        </is>
      </c>
      <c r="L17" s="459" t="n">
        <v>17000</v>
      </c>
      <c r="M17" s="459" t="inlineStr">
        <is>
          <t>운전자 담보</t>
        </is>
      </c>
    </row>
    <row r="18">
      <c r="A18" s="459" t="inlineStr">
        <is>
          <t>13</t>
        </is>
      </c>
      <c r="B18" s="459" t="inlineStr">
        <is>
          <t>실손</t>
        </is>
      </c>
      <c r="C18" s="459" t="inlineStr">
        <is>
          <t>자동차사고</t>
        </is>
      </c>
      <c r="D18" s="459" t="inlineStr">
        <is>
          <t>변호사선임비용 자동차사고 변호사선임비용</t>
        </is>
      </c>
      <c r="E18" s="459" t="inlineStr">
        <is>
          <t>5,000만</t>
        </is>
      </c>
      <c r="F18" s="459" t="n">
        <v>3</v>
      </c>
      <c r="G18" s="459" t="n">
        <v>50000000</v>
      </c>
      <c r="H18" s="459" t="inlineStr">
        <is>
          <t>서상웅 님의 상품별 가입담보상세 2026-05-14 10:32:45 (55세 ,남자) ※ 기준담보/권장금액 : 기본형(37개)/표준형 롯데손보</t>
        </is>
      </c>
      <c r="I18" s="459" t="inlineStr">
        <is>
          <t>2024-12-12</t>
        </is>
      </c>
      <c r="J18" s="459" t="inlineStr">
        <is>
          <t>무배당 let:drive 운전자보험(2411)</t>
        </is>
      </c>
      <c r="K18" s="459" t="inlineStr">
        <is>
          <t>17,000원</t>
        </is>
      </c>
      <c r="L18" s="459" t="n">
        <v>17000</v>
      </c>
      <c r="M18" s="459" t="inlineStr">
        <is>
          <t>운전자 담보</t>
        </is>
      </c>
    </row>
    <row r="19">
      <c r="A19" s="459" t="inlineStr">
        <is>
          <t>14</t>
        </is>
      </c>
      <c r="B19" s="459" t="inlineStr">
        <is>
          <t>실손</t>
        </is>
      </c>
      <c r="C19" s="459" t="inlineStr">
        <is>
          <t>교통사고</t>
        </is>
      </c>
      <c r="D19" s="459" t="inlineStr">
        <is>
          <t>벌금(대물) 교통사고 벌금(대물)</t>
        </is>
      </c>
      <c r="E19" s="459" t="inlineStr">
        <is>
          <t>500만</t>
        </is>
      </c>
      <c r="F19" s="459" t="n">
        <v>3</v>
      </c>
      <c r="G19" s="459" t="n">
        <v>5000000</v>
      </c>
      <c r="H19" s="459" t="inlineStr">
        <is>
          <t>서상웅 님의 상품별 가입담보상세 2026-05-14 10:32:45 (55세 ,남자) ※ 기준담보/권장금액 : 기본형(37개)/표준형 롯데손보</t>
        </is>
      </c>
      <c r="I19" s="459" t="inlineStr">
        <is>
          <t>2024-12-12</t>
        </is>
      </c>
      <c r="J19" s="459" t="inlineStr">
        <is>
          <t>무배당 let:drive 운전자보험(2411)</t>
        </is>
      </c>
      <c r="K19" s="459" t="inlineStr">
        <is>
          <t>17,000원</t>
        </is>
      </c>
      <c r="L19" s="459" t="n">
        <v>17000</v>
      </c>
      <c r="M19" s="459" t="inlineStr">
        <is>
          <t>운전자 담보</t>
        </is>
      </c>
    </row>
    <row r="20">
      <c r="A20" s="459" t="inlineStr">
        <is>
          <t>15</t>
        </is>
      </c>
      <c r="B20" s="459" t="inlineStr">
        <is>
          <t>실손</t>
        </is>
      </c>
      <c r="C20" s="459" t="inlineStr">
        <is>
          <t>교통사고처리지원금</t>
        </is>
      </c>
      <c r="D20" s="459" t="inlineStr">
        <is>
          <t>교통사고처리지원금</t>
        </is>
      </c>
      <c r="E20" s="459" t="inlineStr">
        <is>
          <t>2억</t>
        </is>
      </c>
      <c r="F20" s="459" t="n">
        <v>3</v>
      </c>
      <c r="G20" s="459" t="n">
        <v>200000000</v>
      </c>
      <c r="H20" s="459" t="inlineStr">
        <is>
          <t>서상웅 님의 상품별 가입담보상세 2026-05-14 10:32:45 (55세 ,남자) ※ 기준담보/권장금액 : 기본형(37개)/표준형 롯데손보</t>
        </is>
      </c>
      <c r="I20" s="459" t="inlineStr">
        <is>
          <t>2024-12-12</t>
        </is>
      </c>
      <c r="J20" s="459" t="inlineStr">
        <is>
          <t>무배당 let:drive 운전자보험(2411)</t>
        </is>
      </c>
      <c r="K20" s="459" t="inlineStr">
        <is>
          <t>17,000원</t>
        </is>
      </c>
      <c r="L20" s="459" t="n">
        <v>17000</v>
      </c>
      <c r="M20" s="459" t="inlineStr">
        <is>
          <t>운전자 담보</t>
        </is>
      </c>
    </row>
    <row r="21">
      <c r="A21" s="459" t="inlineStr">
        <is>
          <t>16</t>
        </is>
      </c>
      <c r="B21" s="459" t="inlineStr">
        <is>
          <t>실손</t>
        </is>
      </c>
      <c r="C21" s="459" t="inlineStr">
        <is>
          <t>교통사고</t>
        </is>
      </c>
      <c r="D21" s="459" t="inlineStr">
        <is>
          <t>벌금(대인) 교통사고 벌금(대인)</t>
        </is>
      </c>
      <c r="E21" s="459" t="inlineStr">
        <is>
          <t>3,000만</t>
        </is>
      </c>
      <c r="F21" s="459" t="n">
        <v>3</v>
      </c>
      <c r="G21" s="459" t="n">
        <v>30000000</v>
      </c>
      <c r="H21" s="459" t="inlineStr">
        <is>
          <t>서상웅 님의 상품별 가입담보상세 2026-05-14 10:32:45 (55세 ,남자) ※ 기준담보/권장금액 : 기본형(37개)/표준형 롯데손보</t>
        </is>
      </c>
      <c r="I21" s="459" t="inlineStr">
        <is>
          <t>2024-12-12</t>
        </is>
      </c>
      <c r="J21" s="459" t="inlineStr">
        <is>
          <t>무배당 let:drive 운전자보험(2411)</t>
        </is>
      </c>
      <c r="K21" s="459" t="inlineStr">
        <is>
          <t>17,000원</t>
        </is>
      </c>
      <c r="L21" s="459" t="n">
        <v>17000</v>
      </c>
      <c r="M21" s="459" t="inlineStr">
        <is>
          <t>운전자 담보</t>
        </is>
      </c>
    </row>
    <row r="22">
      <c r="A22" s="459" t="inlineStr">
        <is>
          <t>1</t>
        </is>
      </c>
      <c r="B22" s="459" t="inlineStr">
        <is>
          <t>정액</t>
        </is>
      </c>
      <c r="C22" s="459" t="inlineStr">
        <is>
          <t>조혈모세포이식수술비</t>
        </is>
      </c>
      <c r="D22" s="459" t="inlineStr">
        <is>
          <t>기타수술</t>
        </is>
      </c>
      <c r="E22" s="459" t="inlineStr">
        <is>
          <t>2,000만</t>
        </is>
      </c>
      <c r="F22" s="459" t="n">
        <v>4</v>
      </c>
      <c r="G22" s="459" t="n">
        <v>20000000</v>
      </c>
      <c r="H22" s="459" t="inlineStr">
        <is>
          <t>서상웅 님의 상품별 가입담보상세 2026-05-14 10:32:45 (55세 ,남자) ※ 기준담보/권장금액 : 기본형(37개)/표준형 흥국화재</t>
        </is>
      </c>
      <c r="I22" s="459" t="inlineStr">
        <is>
          <t>2011-09-15</t>
        </is>
      </c>
      <c r="J22" s="459" t="inlineStr">
        <is>
          <t>무배당 행복을 多주는 가족사랑보험(1108)</t>
        </is>
      </c>
      <c r="K22" s="459" t="inlineStr">
        <is>
          <t>71,473원</t>
        </is>
      </c>
      <c r="L22" s="459" t="n">
        <v>71473</v>
      </c>
      <c r="M22" s="459" t="inlineStr">
        <is>
          <t>미분류</t>
        </is>
      </c>
    </row>
    <row r="23">
      <c r="A23" s="459" t="inlineStr">
        <is>
          <t>2</t>
        </is>
      </c>
      <c r="B23" s="459" t="inlineStr">
        <is>
          <t>정액</t>
        </is>
      </c>
      <c r="C23" s="459" t="inlineStr">
        <is>
          <t>일반상해사망</t>
        </is>
      </c>
      <c r="D23" s="459" t="inlineStr">
        <is>
          <t>상해사망</t>
        </is>
      </c>
      <c r="E23" s="459" t="inlineStr">
        <is>
          <t>100만</t>
        </is>
      </c>
      <c r="F23" s="459" t="n">
        <v>4</v>
      </c>
      <c r="G23" s="459" t="n">
        <v>1000000</v>
      </c>
      <c r="H23" s="459" t="inlineStr">
        <is>
          <t>서상웅 님의 상품별 가입담보상세 2026-05-14 10:32:45 (55세 ,남자) ※ 기준담보/권장금액 : 기본형(37개)/표준형 흥국화재</t>
        </is>
      </c>
      <c r="I23" s="459" t="inlineStr">
        <is>
          <t>2011-09-15</t>
        </is>
      </c>
      <c r="J23" s="459" t="inlineStr">
        <is>
          <t>무배당 행복을 多주는 가족사랑보험(1108)</t>
        </is>
      </c>
      <c r="K23" s="459" t="inlineStr">
        <is>
          <t>71,473원</t>
        </is>
      </c>
      <c r="L23" s="459" t="n">
        <v>71473</v>
      </c>
      <c r="M23" s="459" t="inlineStr">
        <is>
          <t>상해사망</t>
        </is>
      </c>
    </row>
    <row r="24">
      <c r="A24" s="459" t="inlineStr">
        <is>
          <t>3</t>
        </is>
      </c>
      <c r="B24" s="459" t="inlineStr">
        <is>
          <t>정액</t>
        </is>
      </c>
      <c r="C24" s="459" t="inlineStr">
        <is>
          <t>일반상해후유장해</t>
        </is>
      </c>
      <c r="D24" s="459" t="inlineStr">
        <is>
          <t>상해후유장해</t>
        </is>
      </c>
      <c r="E24" s="459" t="inlineStr">
        <is>
          <t>3,000만</t>
        </is>
      </c>
      <c r="F24" s="459" t="n">
        <v>4</v>
      </c>
      <c r="G24" s="459" t="n">
        <v>30000000</v>
      </c>
      <c r="H24" s="459" t="inlineStr">
        <is>
          <t>서상웅 님의 상품별 가입담보상세 2026-05-14 10:32:45 (55세 ,남자) ※ 기준담보/권장금액 : 기본형(37개)/표준형 흥국화재</t>
        </is>
      </c>
      <c r="I24" s="459" t="inlineStr">
        <is>
          <t>2011-09-15</t>
        </is>
      </c>
      <c r="J24" s="459" t="inlineStr">
        <is>
          <t>무배당 행복을 多주는 가족사랑보험(1108)</t>
        </is>
      </c>
      <c r="K24" s="459" t="inlineStr">
        <is>
          <t>71,473원</t>
        </is>
      </c>
      <c r="L24" s="459" t="n">
        <v>71473</v>
      </c>
      <c r="M24" s="459" t="inlineStr">
        <is>
          <t>후유장해</t>
        </is>
      </c>
    </row>
    <row r="25">
      <c r="A25" s="459" t="inlineStr">
        <is>
          <t>4</t>
        </is>
      </c>
      <c r="B25" s="459" t="inlineStr">
        <is>
          <t>정액</t>
        </is>
      </c>
      <c r="C25" s="459" t="inlineStr">
        <is>
          <t>일반상해후유장해</t>
        </is>
      </c>
      <c r="D25" s="459" t="inlineStr">
        <is>
          <t>상해80%이상후유장해</t>
        </is>
      </c>
      <c r="E25" s="459" t="inlineStr">
        <is>
          <t>3,000만</t>
        </is>
      </c>
      <c r="F25" s="459" t="n">
        <v>4</v>
      </c>
      <c r="G25" s="459" t="n">
        <v>30000000</v>
      </c>
      <c r="H25" s="459" t="inlineStr">
        <is>
          <t>서상웅 님의 상품별 가입담보상세 2026-05-14 10:32:45 (55세 ,남자) ※ 기준담보/권장금액 : 기본형(37개)/표준형 흥국화재</t>
        </is>
      </c>
      <c r="I25" s="459" t="inlineStr">
        <is>
          <t>2011-09-15</t>
        </is>
      </c>
      <c r="J25" s="459" t="inlineStr">
        <is>
          <t>무배당 행복을 多주는 가족사랑보험(1108)</t>
        </is>
      </c>
      <c r="K25" s="459" t="inlineStr">
        <is>
          <t>71,473원</t>
        </is>
      </c>
      <c r="L25" s="459" t="n">
        <v>71473</v>
      </c>
      <c r="M25" s="459" t="inlineStr">
        <is>
          <t>후유장해</t>
        </is>
      </c>
    </row>
    <row r="26">
      <c r="A26" s="459" t="inlineStr">
        <is>
          <t>5</t>
        </is>
      </c>
      <c r="B26" s="459" t="inlineStr">
        <is>
          <t>정액</t>
        </is>
      </c>
      <c r="C26" s="459" t="inlineStr">
        <is>
          <t>질병입원비(1일-180일)</t>
        </is>
      </c>
      <c r="D26" s="459" t="inlineStr">
        <is>
          <t>질병입원일당</t>
        </is>
      </c>
      <c r="E26" s="459" t="inlineStr">
        <is>
          <t>2만</t>
        </is>
      </c>
      <c r="F26" s="459" t="n">
        <v>4</v>
      </c>
      <c r="G26" s="459" t="n">
        <v>20000</v>
      </c>
      <c r="H26" s="459" t="inlineStr">
        <is>
          <t>서상웅 님의 상품별 가입담보상세 2026-05-14 10:32:45 (55세 ,남자) ※ 기준담보/권장금액 : 기본형(37개)/표준형 흥국화재</t>
        </is>
      </c>
      <c r="I26" s="459" t="inlineStr">
        <is>
          <t>2011-09-15</t>
        </is>
      </c>
      <c r="J26" s="459" t="inlineStr">
        <is>
          <t>무배당 행복을 多주는 가족사랑보험(1108)</t>
        </is>
      </c>
      <c r="K26" s="459" t="inlineStr">
        <is>
          <t>71,473원</t>
        </is>
      </c>
      <c r="L26" s="459" t="n">
        <v>71473</v>
      </c>
      <c r="M26" s="459" t="inlineStr">
        <is>
          <t>질병입원일당</t>
        </is>
      </c>
    </row>
    <row r="27">
      <c r="A27" s="459" t="inlineStr">
        <is>
          <t>6</t>
        </is>
      </c>
      <c r="B27" s="459" t="inlineStr">
        <is>
          <t>정액</t>
        </is>
      </c>
      <c r="C27" s="459" t="inlineStr">
        <is>
          <t>일반상해입원비(1일-180일)</t>
        </is>
      </c>
      <c r="D27" s="459" t="inlineStr">
        <is>
          <t>상해입원일당</t>
        </is>
      </c>
      <c r="E27" s="459" t="inlineStr">
        <is>
          <t>2만</t>
        </is>
      </c>
      <c r="F27" s="459" t="n">
        <v>4</v>
      </c>
      <c r="G27" s="459" t="n">
        <v>20000</v>
      </c>
      <c r="H27" s="459" t="inlineStr">
        <is>
          <t>서상웅 님의 상품별 가입담보상세 2026-05-14 10:32:45 (55세 ,남자) ※ 기준담보/권장금액 : 기본형(37개)/표준형 흥국화재</t>
        </is>
      </c>
      <c r="I27" s="459" t="inlineStr">
        <is>
          <t>2011-09-15</t>
        </is>
      </c>
      <c r="J27" s="459" t="inlineStr">
        <is>
          <t>무배당 행복을 多주는 가족사랑보험(1108)</t>
        </is>
      </c>
      <c r="K27" s="459" t="inlineStr">
        <is>
          <t>71,473원</t>
        </is>
      </c>
      <c r="L27" s="459" t="n">
        <v>71473</v>
      </c>
      <c r="M27" s="459" t="inlineStr">
        <is>
          <t>상해입원일당</t>
        </is>
      </c>
    </row>
    <row r="28">
      <c r="A28" s="459" t="inlineStr">
        <is>
          <t>7</t>
        </is>
      </c>
      <c r="B28" s="459" t="inlineStr">
        <is>
          <t>실손</t>
        </is>
      </c>
      <c r="C28" s="459" t="inlineStr">
        <is>
          <t>상해(일반상해,전체상해를 의미) 상해(일반상해,전체상해를</t>
        </is>
      </c>
      <c r="D28" s="459" t="inlineStr">
        <is>
          <t>의미)입원의료비</t>
        </is>
      </c>
      <c r="E28" s="459" t="inlineStr">
        <is>
          <t>5,000만</t>
        </is>
      </c>
      <c r="F28" s="459" t="n">
        <v>4</v>
      </c>
      <c r="G28" s="459" t="n">
        <v>50000000</v>
      </c>
      <c r="H28" s="459" t="inlineStr">
        <is>
          <t>서상웅 님의 상품별 가입담보상세 2026-05-14 10:32:45 (55세 ,남자) ※ 기준담보/권장금액 : 기본형(37개)/표준형 흥국화재</t>
        </is>
      </c>
      <c r="I28" s="459" t="inlineStr">
        <is>
          <t>2011-09-15</t>
        </is>
      </c>
      <c r="J28" s="459" t="inlineStr">
        <is>
          <t>무배당 행복을 多주는 가족사랑보험(1108)</t>
        </is>
      </c>
      <c r="K28" s="459" t="inlineStr">
        <is>
          <t>71,473원</t>
        </is>
      </c>
      <c r="L28" s="459" t="n">
        <v>71473</v>
      </c>
      <c r="M28" s="459" t="inlineStr">
        <is>
          <t>실손의료비</t>
        </is>
      </c>
    </row>
    <row r="29">
      <c r="A29" s="459" t="inlineStr">
        <is>
          <t>8</t>
        </is>
      </c>
      <c r="B29" s="459" t="inlineStr">
        <is>
          <t>실손</t>
        </is>
      </c>
      <c r="C29" s="459" t="inlineStr">
        <is>
          <t>상해(일반상해,전체상해를 의미) 상해(일반상해,전체상해를</t>
        </is>
      </c>
      <c r="D29" s="459" t="inlineStr">
        <is>
          <t>의미)처방조제료</t>
        </is>
      </c>
      <c r="E29" s="459" t="inlineStr">
        <is>
          <t>5만</t>
        </is>
      </c>
      <c r="F29" s="459" t="n">
        <v>4</v>
      </c>
      <c r="G29" s="459" t="n">
        <v>50000</v>
      </c>
      <c r="H29" s="459" t="inlineStr">
        <is>
          <t>서상웅 님의 상품별 가입담보상세 2026-05-14 10:32:45 (55세 ,남자) ※ 기준담보/권장금액 : 기본형(37개)/표준형 흥국화재</t>
        </is>
      </c>
      <c r="I29" s="459" t="inlineStr">
        <is>
          <t>2011-09-15</t>
        </is>
      </c>
      <c r="J29" s="459" t="inlineStr">
        <is>
          <t>무배당 행복을 多주는 가족사랑보험(1108)</t>
        </is>
      </c>
      <c r="K29" s="459" t="inlineStr">
        <is>
          <t>71,473원</t>
        </is>
      </c>
      <c r="L29" s="459" t="n">
        <v>71473</v>
      </c>
      <c r="M29" s="459" t="inlineStr">
        <is>
          <t>실손의료비</t>
        </is>
      </c>
    </row>
    <row r="30">
      <c r="A30" s="459" t="inlineStr">
        <is>
          <t>9</t>
        </is>
      </c>
      <c r="B30" s="459" t="inlineStr">
        <is>
          <t>실손</t>
        </is>
      </c>
      <c r="C30" s="459" t="inlineStr">
        <is>
          <t>상해(일반상해,전체상해를 의미) 상해(일반상해,전체상해를</t>
        </is>
      </c>
      <c r="D30" s="459" t="inlineStr">
        <is>
          <t>의미)외래의료비</t>
        </is>
      </c>
      <c r="E30" s="459" t="inlineStr">
        <is>
          <t>25만</t>
        </is>
      </c>
      <c r="F30" s="459" t="n">
        <v>4</v>
      </c>
      <c r="G30" s="459" t="n">
        <v>250000</v>
      </c>
      <c r="H30" s="459" t="inlineStr">
        <is>
          <t>서상웅 님의 상품별 가입담보상세 2026-05-14 10:32:45 (55세 ,남자) ※ 기준담보/권장금액 : 기본형(37개)/표준형 흥국화재</t>
        </is>
      </c>
      <c r="I30" s="459" t="inlineStr">
        <is>
          <t>2011-09-15</t>
        </is>
      </c>
      <c r="J30" s="459" t="inlineStr">
        <is>
          <t>무배당 행복을 多주는 가족사랑보험(1108)</t>
        </is>
      </c>
      <c r="K30" s="459" t="inlineStr">
        <is>
          <t>71,473원</t>
        </is>
      </c>
      <c r="L30" s="459" t="n">
        <v>71473</v>
      </c>
      <c r="M30" s="459" t="inlineStr">
        <is>
          <t>실손의료비</t>
        </is>
      </c>
    </row>
    <row r="31">
      <c r="A31" s="459" t="inlineStr">
        <is>
          <t>10</t>
        </is>
      </c>
      <c r="B31" s="459" t="inlineStr">
        <is>
          <t>실손</t>
        </is>
      </c>
      <c r="C31" s="459" t="inlineStr">
        <is>
          <t>질병(전체질병을</t>
        </is>
      </c>
      <c r="D31" s="459" t="inlineStr">
        <is>
          <t>의미) 질병(전체질병을 의미)입원의료비</t>
        </is>
      </c>
      <c r="E31" s="459" t="inlineStr">
        <is>
          <t>5,000만</t>
        </is>
      </c>
      <c r="F31" s="459" t="n">
        <v>4</v>
      </c>
      <c r="G31" s="459" t="n">
        <v>50000000</v>
      </c>
      <c r="H31" s="459" t="inlineStr">
        <is>
          <t>서상웅 님의 상품별 가입담보상세 2026-05-14 10:32:45 (55세 ,남자) ※ 기준담보/권장금액 : 기본형(37개)/표준형 흥국화재</t>
        </is>
      </c>
      <c r="I31" s="459" t="inlineStr">
        <is>
          <t>2011-09-15</t>
        </is>
      </c>
      <c r="J31" s="459" t="inlineStr">
        <is>
          <t>무배당 행복을 多주는 가족사랑보험(1108)</t>
        </is>
      </c>
      <c r="K31" s="459" t="inlineStr">
        <is>
          <t>71,473원</t>
        </is>
      </c>
      <c r="L31" s="459" t="n">
        <v>71473</v>
      </c>
      <c r="M31" s="459" t="inlineStr">
        <is>
          <t>실손의료비</t>
        </is>
      </c>
    </row>
    <row r="32">
      <c r="A32" s="459" t="inlineStr">
        <is>
          <t>11</t>
        </is>
      </c>
      <c r="B32" s="459" t="inlineStr">
        <is>
          <t>실손</t>
        </is>
      </c>
      <c r="C32" s="459" t="inlineStr">
        <is>
          <t>질병(전체질병을</t>
        </is>
      </c>
      <c r="D32" s="459" t="inlineStr">
        <is>
          <t>의미) 질병(전체질병을 의미)처방조제료</t>
        </is>
      </c>
      <c r="E32" s="459" t="inlineStr">
        <is>
          <t>5만</t>
        </is>
      </c>
      <c r="F32" s="459" t="n">
        <v>4</v>
      </c>
      <c r="G32" s="459" t="n">
        <v>50000</v>
      </c>
      <c r="H32" s="459" t="inlineStr">
        <is>
          <t>서상웅 님의 상품별 가입담보상세 2026-05-14 10:32:45 (55세 ,남자) ※ 기준담보/권장금액 : 기본형(37개)/표준형 흥국화재</t>
        </is>
      </c>
      <c r="I32" s="459" t="inlineStr">
        <is>
          <t>2011-09-15</t>
        </is>
      </c>
      <c r="J32" s="459" t="inlineStr">
        <is>
          <t>무배당 행복을 多주는 가족사랑보험(1108)</t>
        </is>
      </c>
      <c r="K32" s="459" t="inlineStr">
        <is>
          <t>71,473원</t>
        </is>
      </c>
      <c r="L32" s="459" t="n">
        <v>71473</v>
      </c>
      <c r="M32" s="459" t="inlineStr">
        <is>
          <t>실손의료비</t>
        </is>
      </c>
    </row>
    <row r="33">
      <c r="A33" s="459" t="inlineStr">
        <is>
          <t>12</t>
        </is>
      </c>
      <c r="B33" s="459" t="inlineStr">
        <is>
          <t>실손</t>
        </is>
      </c>
      <c r="C33" s="459" t="inlineStr">
        <is>
          <t>질병(전체질병을</t>
        </is>
      </c>
      <c r="D33" s="459" t="inlineStr">
        <is>
          <t>의미) 질병(전체질병을 의미)외래의료비</t>
        </is>
      </c>
      <c r="E33" s="459" t="inlineStr">
        <is>
          <t>25만</t>
        </is>
      </c>
      <c r="F33" s="459" t="n">
        <v>4</v>
      </c>
      <c r="G33" s="459" t="n">
        <v>250000</v>
      </c>
      <c r="H33" s="459" t="inlineStr">
        <is>
          <t>서상웅 님의 상품별 가입담보상세 2026-05-14 10:32:45 (55세 ,남자) ※ 기준담보/권장금액 : 기본형(37개)/표준형 흥국화재</t>
        </is>
      </c>
      <c r="I33" s="459" t="inlineStr">
        <is>
          <t>2011-09-15</t>
        </is>
      </c>
      <c r="J33" s="459" t="inlineStr">
        <is>
          <t>무배당 행복을 多주는 가족사랑보험(1108)</t>
        </is>
      </c>
      <c r="K33" s="459" t="inlineStr">
        <is>
          <t>71,473원</t>
        </is>
      </c>
      <c r="L33" s="459" t="n">
        <v>71473</v>
      </c>
      <c r="M33" s="459" t="inlineStr">
        <is>
          <t>실손의료비</t>
        </is>
      </c>
    </row>
    <row r="34">
      <c r="A34" s="459" t="inlineStr">
        <is>
          <t>1</t>
        </is>
      </c>
      <c r="B34" s="459" t="inlineStr">
        <is>
          <t>정액</t>
        </is>
      </c>
      <c r="C34" s="459" t="inlineStr">
        <is>
          <t>일반상해사망(통합간편가입형)(갱신형_20년)</t>
        </is>
      </c>
      <c r="D34" s="459" t="inlineStr">
        <is>
          <t>상해사망(유병자)</t>
        </is>
      </c>
      <c r="E34" s="459" t="inlineStr">
        <is>
          <t>5,000만</t>
        </is>
      </c>
      <c r="F34" s="459" t="n">
        <v>5</v>
      </c>
      <c r="G34" s="459" t="n">
        <v>50000000</v>
      </c>
      <c r="H34" s="459" t="inlineStr">
        <is>
          <t>서상웅 님의 상품별 가입담보상세 2026-05-14 10:32:45 (55세 ,남자) ※ 기준담보/권장금액 : 기본형(37개)/표준형 흥국화재</t>
        </is>
      </c>
      <c r="I34" s="459" t="inlineStr">
        <is>
          <t>2026-01-26</t>
        </is>
      </c>
      <c r="J34" s="459" t="inlineStr">
        <is>
          <t>무배당 흥Good 든든한 3N5 간편종합보험(26.01)_(2종)(20년갱신형)(통합간편가입형)(해약환급금미지급형) (1/2)</t>
        </is>
      </c>
      <c r="K34" s="459" t="inlineStr">
        <is>
          <t>142,915원</t>
        </is>
      </c>
      <c r="L34" s="459" t="n">
        <v>142915</v>
      </c>
      <c r="M34" s="459" t="inlineStr">
        <is>
          <t>상해사망</t>
        </is>
      </c>
    </row>
    <row r="35">
      <c r="A35" s="459" t="inlineStr">
        <is>
          <t>2</t>
        </is>
      </c>
      <c r="B35" s="459" t="inlineStr">
        <is>
          <t>정액</t>
        </is>
      </c>
      <c r="C35" s="459" t="inlineStr">
        <is>
          <t>뇌혈관질환진단비Ⅱ(통합간편가입형)(갱신형_20년)</t>
        </is>
      </c>
      <c r="D35" s="459" t="inlineStr">
        <is>
          <t>뇌혈관질환진단</t>
        </is>
      </c>
      <c r="E35" s="459" t="inlineStr">
        <is>
          <t>1,000만</t>
        </is>
      </c>
      <c r="F35" s="459" t="n">
        <v>5</v>
      </c>
      <c r="G35" s="459" t="n">
        <v>10000000</v>
      </c>
      <c r="H35" s="459" t="inlineStr">
        <is>
          <t>서상웅 님의 상품별 가입담보상세 2026-05-14 10:32:45 (55세 ,남자) ※ 기준담보/권장금액 : 기본형(37개)/표준형 흥국화재</t>
        </is>
      </c>
      <c r="I35" s="459" t="inlineStr">
        <is>
          <t>2026-01-26</t>
        </is>
      </c>
      <c r="J35" s="459" t="inlineStr">
        <is>
          <t>무배당 흥Good 든든한 3N5 간편종합보험(26.01)_(2종)(20년갱신형)(통합간편가입형)(해약환급금미지급형) (1/2)</t>
        </is>
      </c>
      <c r="K35" s="459" t="inlineStr">
        <is>
          <t>142,915원</t>
        </is>
      </c>
      <c r="L35" s="459" t="n">
        <v>142915</v>
      </c>
      <c r="M35" s="459" t="inlineStr">
        <is>
          <t>뇌혈관 진단비</t>
        </is>
      </c>
    </row>
    <row r="36">
      <c r="A36" s="459" t="inlineStr">
        <is>
          <t>3</t>
        </is>
      </c>
      <c r="B36" s="459" t="inlineStr">
        <is>
          <t>정액</t>
        </is>
      </c>
      <c r="C36" s="459" t="inlineStr">
        <is>
          <t>허혈성심질환진단비Ⅱ(통합간편가입형)(갱신형_20년)</t>
        </is>
      </c>
      <c r="D36" s="459" t="inlineStr">
        <is>
          <t>허혈성심장질환진단</t>
        </is>
      </c>
      <c r="E36" s="459" t="inlineStr">
        <is>
          <t>1,000만</t>
        </is>
      </c>
      <c r="F36" s="459" t="n">
        <v>5</v>
      </c>
      <c r="G36" s="459" t="n">
        <v>10000000</v>
      </c>
      <c r="H36" s="459" t="inlineStr">
        <is>
          <t>서상웅 님의 상품별 가입담보상세 2026-05-14 10:32:45 (55세 ,남자) ※ 기준담보/권장금액 : 기본형(37개)/표준형 흥국화재</t>
        </is>
      </c>
      <c r="I36" s="459" t="inlineStr">
        <is>
          <t>2026-01-26</t>
        </is>
      </c>
      <c r="J36" s="459" t="inlineStr">
        <is>
          <t>무배당 흥Good 든든한 3N5 간편종합보험(26.01)_(2종)(20년갱신형)(통합간편가입형)(해약환급금미지급형) (1/2)</t>
        </is>
      </c>
      <c r="K36" s="459" t="inlineStr">
        <is>
          <t>142,915원</t>
        </is>
      </c>
      <c r="L36" s="459" t="n">
        <v>142915</v>
      </c>
      <c r="M36" s="459" t="inlineStr">
        <is>
          <t>허혈성심장질환 진단비</t>
        </is>
      </c>
    </row>
    <row r="37">
      <c r="A37" s="459" t="inlineStr">
        <is>
          <t>4</t>
        </is>
      </c>
      <c r="B37" s="459" t="inlineStr">
        <is>
          <t>정액</t>
        </is>
      </c>
      <c r="C37" s="459" t="inlineStr">
        <is>
          <t>갑상선 바늘생검 조직병리 진단비(급여_연간1회한)(통합</t>
        </is>
      </c>
      <c r="D37" s="459" t="inlineStr">
        <is>
          <t>특정질병진단</t>
        </is>
      </c>
      <c r="E37" s="459" t="inlineStr">
        <is>
          <t>30만</t>
        </is>
      </c>
      <c r="F37" s="459" t="n">
        <v>5</v>
      </c>
      <c r="G37" s="459" t="n">
        <v>300000</v>
      </c>
      <c r="H37" s="459" t="inlineStr">
        <is>
          <t>서상웅 님의 상품별 가입담보상세 2026-05-14 10:32:45 (55세 ,남자) ※ 기준담보/권장금액 : 기본형(37개)/표준형 흥국화재</t>
        </is>
      </c>
      <c r="I37" s="459" t="inlineStr">
        <is>
          <t>2026-01-26</t>
        </is>
      </c>
      <c r="J37" s="459" t="inlineStr">
        <is>
          <t>무배당 흥Good 든든한 3N5 간편종합보험(26.01)_(2종)(20년갱신형)(통합간편가입형)(해약환급금미지급형) (1/2)</t>
        </is>
      </c>
      <c r="K37" s="459" t="inlineStr">
        <is>
          <t>142,915원</t>
        </is>
      </c>
      <c r="L37" s="459" t="n">
        <v>142915</v>
      </c>
      <c r="M37" s="459" t="inlineStr">
        <is>
          <t>미분류</t>
        </is>
      </c>
    </row>
    <row r="38">
      <c r="A38" s="459" t="inlineStr">
        <is>
          <t>5</t>
        </is>
      </c>
      <c r="B38" s="459" t="inlineStr">
        <is>
          <t>정액</t>
        </is>
      </c>
      <c r="C38" s="459" t="inlineStr">
        <is>
          <t>대상포진눈병진단비(통합간편가입형)(갱신형_20년)</t>
        </is>
      </c>
      <c r="D38" s="459" t="inlineStr">
        <is>
          <t>특정질병진단</t>
        </is>
      </c>
      <c r="E38" s="459" t="inlineStr">
        <is>
          <t>300만</t>
        </is>
      </c>
      <c r="F38" s="459" t="n">
        <v>5</v>
      </c>
      <c r="G38" s="459" t="n">
        <v>3000000</v>
      </c>
      <c r="H38" s="459" t="inlineStr">
        <is>
          <t>서상웅 님의 상품별 가입담보상세 2026-05-14 10:32:45 (55세 ,남자) ※ 기준담보/권장금액 : 기본형(37개)/표준형 흥국화재</t>
        </is>
      </c>
      <c r="I38" s="459" t="inlineStr">
        <is>
          <t>2026-01-26</t>
        </is>
      </c>
      <c r="J38" s="459" t="inlineStr">
        <is>
          <t>무배당 흥Good 든든한 3N5 간편종합보험(26.01)_(2종)(20년갱신형)(통합간편가입형)(해약환급금미지급형) (1/2)</t>
        </is>
      </c>
      <c r="K38" s="459" t="inlineStr">
        <is>
          <t>142,915원</t>
        </is>
      </c>
      <c r="L38" s="459" t="n">
        <v>142915</v>
      </c>
      <c r="M38" s="459" t="inlineStr">
        <is>
          <t>미분류</t>
        </is>
      </c>
    </row>
    <row r="39">
      <c r="A39" s="459" t="inlineStr">
        <is>
          <t>6</t>
        </is>
      </c>
      <c r="B39" s="459" t="inlineStr">
        <is>
          <t>정액</t>
        </is>
      </c>
      <c r="C39" s="459" t="inlineStr">
        <is>
          <t>대상포진진단비(통합간편가입형)(갱신형_20년)</t>
        </is>
      </c>
      <c r="D39" s="459" t="inlineStr">
        <is>
          <t>특정질병진단</t>
        </is>
      </c>
      <c r="E39" s="459" t="inlineStr">
        <is>
          <t>100만</t>
        </is>
      </c>
      <c r="F39" s="459" t="n">
        <v>5</v>
      </c>
      <c r="G39" s="459" t="n">
        <v>1000000</v>
      </c>
      <c r="H39" s="459" t="inlineStr">
        <is>
          <t>서상웅 님의 상품별 가입담보상세 2026-05-14 10:32:45 (55세 ,남자) ※ 기준담보/권장금액 : 기본형(37개)/표준형 흥국화재</t>
        </is>
      </c>
      <c r="I39" s="459" t="inlineStr">
        <is>
          <t>2026-01-26</t>
        </is>
      </c>
      <c r="J39" s="459" t="inlineStr">
        <is>
          <t>무배당 흥Good 든든한 3N5 간편종합보험(26.01)_(2종)(20년갱신형)(통합간편가입형)(해약환급금미지급형) (1/2)</t>
        </is>
      </c>
      <c r="K39" s="459" t="inlineStr">
        <is>
          <t>142,915원</t>
        </is>
      </c>
      <c r="L39" s="459" t="n">
        <v>142915</v>
      </c>
      <c r="M39" s="459" t="inlineStr">
        <is>
          <t>미분류</t>
        </is>
      </c>
    </row>
    <row r="40">
      <c r="A40" s="459" t="inlineStr">
        <is>
          <t>7</t>
        </is>
      </c>
      <c r="B40" s="459" t="inlineStr">
        <is>
          <t>정액</t>
        </is>
      </c>
      <c r="C40" s="459" t="inlineStr">
        <is>
          <t>백내장진단비(통합간편가입형)(갱신형_20년)</t>
        </is>
      </c>
      <c r="D40" s="459" t="inlineStr">
        <is>
          <t>특정질병진단</t>
        </is>
      </c>
      <c r="E40" s="459" t="inlineStr">
        <is>
          <t>10만</t>
        </is>
      </c>
      <c r="F40" s="459" t="n">
        <v>5</v>
      </c>
      <c r="G40" s="459" t="n">
        <v>100000</v>
      </c>
      <c r="H40" s="459" t="inlineStr">
        <is>
          <t>서상웅 님의 상품별 가입담보상세 2026-05-14 10:32:45 (55세 ,남자) ※ 기준담보/권장금액 : 기본형(37개)/표준형 흥국화재</t>
        </is>
      </c>
      <c r="I40" s="459" t="inlineStr">
        <is>
          <t>2026-01-26</t>
        </is>
      </c>
      <c r="J40" s="459" t="inlineStr">
        <is>
          <t>무배당 흥Good 든든한 3N5 간편종합보험(26.01)_(2종)(20년갱신형)(통합간편가입형)(해약환급금미지급형) (1/2)</t>
        </is>
      </c>
      <c r="K40" s="459" t="inlineStr">
        <is>
          <t>142,915원</t>
        </is>
      </c>
      <c r="L40" s="459" t="n">
        <v>142915</v>
      </c>
      <c r="M40" s="459" t="inlineStr">
        <is>
          <t>미분류</t>
        </is>
      </c>
    </row>
    <row r="41">
      <c r="A41" s="459" t="inlineStr">
        <is>
          <t>8</t>
        </is>
      </c>
      <c r="B41" s="459" t="inlineStr">
        <is>
          <t>정액</t>
        </is>
      </c>
      <c r="C41" s="459" t="inlineStr">
        <is>
          <t>심부 바늘생검 조직병리 진단비(급여_연간1회한)(통합간</t>
        </is>
      </c>
      <c r="D41" s="459" t="inlineStr">
        <is>
          <t>특정질병진단</t>
        </is>
      </c>
      <c r="E41" s="459" t="inlineStr">
        <is>
          <t>30만</t>
        </is>
      </c>
      <c r="F41" s="459" t="n">
        <v>5</v>
      </c>
      <c r="G41" s="459" t="n">
        <v>300000</v>
      </c>
      <c r="H41" s="459" t="inlineStr">
        <is>
          <t>서상웅 님의 상품별 가입담보상세 2026-05-14 10:32:45 (55세 ,남자) ※ 기준담보/권장금액 : 기본형(37개)/표준형 흥국화재</t>
        </is>
      </c>
      <c r="I41" s="459" t="inlineStr">
        <is>
          <t>2026-01-26</t>
        </is>
      </c>
      <c r="J41" s="459" t="inlineStr">
        <is>
          <t>무배당 흥Good 든든한 3N5 간편종합보험(26.01)_(2종)(20년갱신형)(통합간편가입형)(해약환급금미지급형) (1/2)</t>
        </is>
      </c>
      <c r="K41" s="459" t="inlineStr">
        <is>
          <t>142,915원</t>
        </is>
      </c>
      <c r="L41" s="459" t="n">
        <v>142915</v>
      </c>
      <c r="M41" s="459" t="inlineStr">
        <is>
          <t>미분류</t>
        </is>
      </c>
    </row>
    <row r="42">
      <c r="A42" s="459" t="inlineStr">
        <is>
          <t>9</t>
        </is>
      </c>
      <c r="B42" s="459" t="inlineStr">
        <is>
          <t>정액</t>
        </is>
      </c>
      <c r="C42" s="459" t="inlineStr">
        <is>
          <t>요로결석진단비(통합간편가입형)(갱신형_20년)</t>
        </is>
      </c>
      <c r="D42" s="459" t="inlineStr">
        <is>
          <t>특정질병진단</t>
        </is>
      </c>
      <c r="E42" s="459" t="inlineStr">
        <is>
          <t>30만</t>
        </is>
      </c>
      <c r="F42" s="459" t="n">
        <v>5</v>
      </c>
      <c r="G42" s="459" t="n">
        <v>300000</v>
      </c>
      <c r="H42" s="459" t="inlineStr">
        <is>
          <t>서상웅 님의 상품별 가입담보상세 2026-05-14 10:32:45 (55세 ,남자) ※ 기준담보/권장금액 : 기본형(37개)/표준형 흥국화재</t>
        </is>
      </c>
      <c r="I42" s="459" t="inlineStr">
        <is>
          <t>2026-01-26</t>
        </is>
      </c>
      <c r="J42" s="459" t="inlineStr">
        <is>
          <t>무배당 흥Good 든든한 3N5 간편종합보험(26.01)_(2종)(20년갱신형)(통합간편가입형)(해약환급금미지급형) (1/2)</t>
        </is>
      </c>
      <c r="K42" s="459" t="inlineStr">
        <is>
          <t>142,915원</t>
        </is>
      </c>
      <c r="L42" s="459" t="n">
        <v>142915</v>
      </c>
      <c r="M42" s="459" t="inlineStr">
        <is>
          <t>미분류</t>
        </is>
      </c>
    </row>
    <row r="43">
      <c r="A43" s="459" t="inlineStr">
        <is>
          <t>10</t>
        </is>
      </c>
      <c r="B43" s="459" t="inlineStr">
        <is>
          <t>정액</t>
        </is>
      </c>
      <c r="C43" s="459" t="inlineStr">
        <is>
          <t>전립선 바늘생검 조직병리 진단비(급여_연간1회한)(통합</t>
        </is>
      </c>
      <c r="D43" s="459" t="inlineStr">
        <is>
          <t>특정질병진단</t>
        </is>
      </c>
      <c r="E43" s="459" t="inlineStr">
        <is>
          <t>30만</t>
        </is>
      </c>
      <c r="F43" s="459" t="n">
        <v>5</v>
      </c>
      <c r="G43" s="459" t="n">
        <v>300000</v>
      </c>
      <c r="H43" s="459" t="inlineStr">
        <is>
          <t>서상웅 님의 상품별 가입담보상세 2026-05-14 10:32:45 (55세 ,남자) ※ 기준담보/권장금액 : 기본형(37개)/표준형 흥국화재</t>
        </is>
      </c>
      <c r="I43" s="459" t="inlineStr">
        <is>
          <t>2026-01-26</t>
        </is>
      </c>
      <c r="J43" s="459" t="inlineStr">
        <is>
          <t>무배당 흥Good 든든한 3N5 간편종합보험(26.01)_(2종)(20년갱신형)(통합간편가입형)(해약환급금미지급형) (1/2)</t>
        </is>
      </c>
      <c r="K43" s="459" t="inlineStr">
        <is>
          <t>142,915원</t>
        </is>
      </c>
      <c r="L43" s="459" t="n">
        <v>142915</v>
      </c>
      <c r="M43" s="459" t="inlineStr">
        <is>
          <t>미분류</t>
        </is>
      </c>
    </row>
    <row r="44">
      <c r="A44" s="459" t="inlineStr">
        <is>
          <t>11</t>
        </is>
      </c>
      <c r="B44" s="459" t="inlineStr">
        <is>
          <t>정액</t>
        </is>
      </c>
      <c r="C44" s="459" t="inlineStr">
        <is>
          <t>주요심장염증질환진단비(통합간편가입형)(갱신형_20년)</t>
        </is>
      </c>
      <c r="D44" s="459" t="inlineStr">
        <is>
          <t>특정질병진단</t>
        </is>
      </c>
      <c r="E44" s="459" t="inlineStr">
        <is>
          <t>100만</t>
        </is>
      </c>
      <c r="F44" s="459" t="n">
        <v>5</v>
      </c>
      <c r="G44" s="459" t="n">
        <v>1000000</v>
      </c>
      <c r="H44" s="459" t="inlineStr">
        <is>
          <t>서상웅 님의 상품별 가입담보상세 2026-05-14 10:32:45 (55세 ,남자) ※ 기준담보/권장금액 : 기본형(37개)/표준형 흥국화재</t>
        </is>
      </c>
      <c r="I44" s="459" t="inlineStr">
        <is>
          <t>2026-01-26</t>
        </is>
      </c>
      <c r="J44" s="459" t="inlineStr">
        <is>
          <t>무배당 흥Good 든든한 3N5 간편종합보험(26.01)_(2종)(20년갱신형)(통합간편가입형)(해약환급금미지급형) (1/2)</t>
        </is>
      </c>
      <c r="K44" s="459" t="inlineStr">
        <is>
          <t>142,915원</t>
        </is>
      </c>
      <c r="L44" s="459" t="n">
        <v>142915</v>
      </c>
      <c r="M44" s="459" t="inlineStr">
        <is>
          <t>미분류</t>
        </is>
      </c>
    </row>
    <row r="45">
      <c r="A45" s="459" t="inlineStr">
        <is>
          <t>12</t>
        </is>
      </c>
      <c r="B45" s="459" t="inlineStr">
        <is>
          <t>정액</t>
        </is>
      </c>
      <c r="C45" s="459" t="inlineStr">
        <is>
          <t>통풍진단비(통합간편가입형)(갱신형_20년)</t>
        </is>
      </c>
      <c r="D45" s="459" t="inlineStr">
        <is>
          <t>특정질병진단</t>
        </is>
      </c>
      <c r="E45" s="459" t="inlineStr">
        <is>
          <t>100만</t>
        </is>
      </c>
      <c r="F45" s="459" t="n">
        <v>5</v>
      </c>
      <c r="G45" s="459" t="n">
        <v>1000000</v>
      </c>
      <c r="H45" s="459" t="inlineStr">
        <is>
          <t>서상웅 님의 상품별 가입담보상세 2026-05-14 10:32:45 (55세 ,남자) ※ 기준담보/권장금액 : 기본형(37개)/표준형 흥국화재</t>
        </is>
      </c>
      <c r="I45" s="459" t="inlineStr">
        <is>
          <t>2026-01-26</t>
        </is>
      </c>
      <c r="J45" s="459" t="inlineStr">
        <is>
          <t>무배당 흥Good 든든한 3N5 간편종합보험(26.01)_(2종)(20년갱신형)(통합간편가입형)(해약환급금미지급형) (1/2)</t>
        </is>
      </c>
      <c r="K45" s="459" t="inlineStr">
        <is>
          <t>142,915원</t>
        </is>
      </c>
      <c r="L45" s="459" t="n">
        <v>142915</v>
      </c>
      <c r="M45" s="459" t="inlineStr">
        <is>
          <t>미분류</t>
        </is>
      </c>
    </row>
    <row r="46">
      <c r="A46" s="459" t="inlineStr">
        <is>
          <t>13</t>
        </is>
      </c>
      <c r="B46" s="459" t="inlineStr">
        <is>
          <t>정액</t>
        </is>
      </c>
      <c r="C46" s="459" t="inlineStr">
        <is>
          <t>특정심혈관질환(기타심장부정맥)진단비Ⅱ(통합간편가입형)(</t>
        </is>
      </c>
      <c r="D46" s="459" t="inlineStr">
        <is>
          <t>특정질병진단</t>
        </is>
      </c>
      <c r="E46" s="459" t="inlineStr">
        <is>
          <t>200만</t>
        </is>
      </c>
      <c r="F46" s="459" t="n">
        <v>5</v>
      </c>
      <c r="G46" s="459" t="n">
        <v>2000000</v>
      </c>
      <c r="H46" s="459" t="inlineStr">
        <is>
          <t>서상웅 님의 상품별 가입담보상세 2026-05-14 10:32:45 (55세 ,남자) ※ 기준담보/권장금액 : 기본형(37개)/표준형 흥국화재</t>
        </is>
      </c>
      <c r="I46" s="459" t="inlineStr">
        <is>
          <t>2026-01-26</t>
        </is>
      </c>
      <c r="J46" s="459" t="inlineStr">
        <is>
          <t>무배당 흥Good 든든한 3N5 간편종합보험(26.01)_(2종)(20년갱신형)(통합간편가입형)(해약환급금미지급형) (1/2)</t>
        </is>
      </c>
      <c r="K46" s="459" t="inlineStr">
        <is>
          <t>142,915원</t>
        </is>
      </c>
      <c r="L46" s="459" t="n">
        <v>142915</v>
      </c>
      <c r="M46" s="459" t="inlineStr">
        <is>
          <t>미분류</t>
        </is>
      </c>
    </row>
    <row r="47">
      <c r="A47" s="459" t="inlineStr">
        <is>
          <t>14</t>
        </is>
      </c>
      <c r="B47" s="459" t="inlineStr">
        <is>
          <t>정액</t>
        </is>
      </c>
      <c r="C47" s="459" t="inlineStr">
        <is>
          <t>특정심혈관질환(기타심장부정맥제외)진단비Ⅱ(통합간편가입형</t>
        </is>
      </c>
      <c r="D47" s="459" t="inlineStr">
        <is>
          <t>특정질병진단</t>
        </is>
      </c>
      <c r="E47" s="459" t="inlineStr">
        <is>
          <t>200만</t>
        </is>
      </c>
      <c r="F47" s="459" t="n">
        <v>5</v>
      </c>
      <c r="G47" s="459" t="n">
        <v>2000000</v>
      </c>
      <c r="H47" s="459" t="inlineStr">
        <is>
          <t>서상웅 님의 상품별 가입담보상세 2026-05-14 10:32:45 (55세 ,남자) ※ 기준담보/권장금액 : 기본형(37개)/표준형 흥국화재</t>
        </is>
      </c>
      <c r="I47" s="459" t="inlineStr">
        <is>
          <t>2026-01-26</t>
        </is>
      </c>
      <c r="J47" s="459" t="inlineStr">
        <is>
          <t>무배당 흥Good 든든한 3N5 간편종합보험(26.01)_(2종)(20년갱신형)(통합간편가입형)(해약환급금미지급형) (1/2)</t>
        </is>
      </c>
      <c r="K47" s="459" t="inlineStr">
        <is>
          <t>142,915원</t>
        </is>
      </c>
      <c r="L47" s="459" t="n">
        <v>142915</v>
      </c>
      <c r="M47" s="459" t="inlineStr">
        <is>
          <t>미분류</t>
        </is>
      </c>
    </row>
    <row r="48">
      <c r="A48" s="459" t="inlineStr">
        <is>
          <t>15</t>
        </is>
      </c>
      <c r="B48" s="459" t="inlineStr">
        <is>
          <t>정액</t>
        </is>
      </c>
      <c r="C48" s="459" t="inlineStr">
        <is>
          <t>암진단비(유사암제외)(통합간편가입형)(갱신형_20년)</t>
        </is>
      </c>
      <c r="D48" s="459" t="inlineStr">
        <is>
          <t>암진단(유병자)</t>
        </is>
      </c>
      <c r="E48" s="459" t="inlineStr">
        <is>
          <t>1,000만</t>
        </is>
      </c>
      <c r="F48" s="459" t="n">
        <v>5</v>
      </c>
      <c r="G48" s="459" t="n">
        <v>10000000</v>
      </c>
      <c r="H48" s="459" t="inlineStr">
        <is>
          <t>서상웅 님의 상품별 가입담보상세 2026-05-14 10:32:45 (55세 ,남자) ※ 기준담보/권장금액 : 기본형(37개)/표준형 흥국화재</t>
        </is>
      </c>
      <c r="I48" s="459" t="inlineStr">
        <is>
          <t>2026-01-26</t>
        </is>
      </c>
      <c r="J48" s="459" t="inlineStr">
        <is>
          <t>무배당 흥Good 든든한 3N5 간편종합보험(26.01)_(2종)(20년갱신형)(통합간편가입형)(해약환급금미지급형) (1/2)</t>
        </is>
      </c>
      <c r="K48" s="459" t="inlineStr">
        <is>
          <t>142,915원</t>
        </is>
      </c>
      <c r="L48" s="459" t="n">
        <v>142915</v>
      </c>
      <c r="M48" s="459" t="inlineStr">
        <is>
          <t>일반암 진단비</t>
        </is>
      </c>
    </row>
    <row r="49">
      <c r="A49" s="459" t="inlineStr">
        <is>
          <t>16</t>
        </is>
      </c>
      <c r="B49" s="459" t="inlineStr">
        <is>
          <t>정액</t>
        </is>
      </c>
      <c r="C49" s="459" t="inlineStr">
        <is>
          <t>유사암진단비(통합간편가입형)(갱신형_20년)</t>
        </is>
      </c>
      <c r="D49" s="459" t="inlineStr">
        <is>
          <t>소액암진단(유사암진단)</t>
        </is>
      </c>
      <c r="E49" s="459" t="inlineStr">
        <is>
          <t>200만</t>
        </is>
      </c>
      <c r="F49" s="459" t="n">
        <v>5</v>
      </c>
      <c r="G49" s="459" t="n">
        <v>2000000</v>
      </c>
      <c r="H49" s="459" t="inlineStr">
        <is>
          <t>서상웅 님의 상품별 가입담보상세 2026-05-14 10:32:45 (55세 ,남자) ※ 기준담보/권장금액 : 기본형(37개)/표준형 흥국화재</t>
        </is>
      </c>
      <c r="I49" s="459" t="inlineStr">
        <is>
          <t>2026-01-26</t>
        </is>
      </c>
      <c r="J49" s="459" t="inlineStr">
        <is>
          <t>무배당 흥Good 든든한 3N5 간편종합보험(26.01)_(2종)(20년갱신형)(통합간편가입형)(해약환급금미지급형) (1/2)</t>
        </is>
      </c>
      <c r="K49" s="459" t="inlineStr">
        <is>
          <t>142,915원</t>
        </is>
      </c>
      <c r="L49" s="459" t="n">
        <v>142915</v>
      </c>
      <c r="M49" s="459" t="inlineStr">
        <is>
          <t>일반암 진단비</t>
        </is>
      </c>
    </row>
    <row r="50">
      <c r="A50" s="459" t="inlineStr">
        <is>
          <t>17</t>
        </is>
      </c>
      <c r="B50" s="459" t="inlineStr">
        <is>
          <t>정액</t>
        </is>
      </c>
      <c r="C50" s="459" t="inlineStr">
        <is>
          <t>골절진단비(치아파절제외)(통합간편가입형)(갱신형_20년</t>
        </is>
      </c>
      <c r="D50" s="459" t="inlineStr">
        <is>
          <t>골절진단</t>
        </is>
      </c>
      <c r="E50" s="459" t="inlineStr">
        <is>
          <t>30만</t>
        </is>
      </c>
      <c r="F50" s="459" t="n">
        <v>5</v>
      </c>
      <c r="G50" s="459" t="n">
        <v>300000</v>
      </c>
      <c r="H50" s="459" t="inlineStr">
        <is>
          <t>서상웅 님의 상품별 가입담보상세 2026-05-14 10:32:45 (55세 ,남자) ※ 기준담보/권장금액 : 기본형(37개)/표준형 흥국화재</t>
        </is>
      </c>
      <c r="I50" s="459" t="inlineStr">
        <is>
          <t>2026-01-26</t>
        </is>
      </c>
      <c r="J50" s="459" t="inlineStr">
        <is>
          <t>무배당 흥Good 든든한 3N5 간편종합보험(26.01)_(2종)(20년갱신형)(통합간편가입형)(해약환급금미지급형) (1/2)</t>
        </is>
      </c>
      <c r="K50" s="459" t="inlineStr">
        <is>
          <t>142,915원</t>
        </is>
      </c>
      <c r="L50" s="459" t="n">
        <v>142915</v>
      </c>
      <c r="M50" s="459" t="inlineStr">
        <is>
          <t>골절/화상</t>
        </is>
      </c>
    </row>
    <row r="51">
      <c r="A51" s="459" t="inlineStr">
        <is>
          <t>18</t>
        </is>
      </c>
      <c r="B51" s="459" t="inlineStr">
        <is>
          <t>정액</t>
        </is>
      </c>
      <c r="C51" s="459" t="inlineStr">
        <is>
          <t>화상진단비(통합간편가입형)(갱신형_20년)</t>
        </is>
      </c>
      <c r="D51" s="459" t="inlineStr">
        <is>
          <t>화상진단</t>
        </is>
      </c>
      <c r="E51" s="459" t="inlineStr">
        <is>
          <t>20만</t>
        </is>
      </c>
      <c r="F51" s="459" t="n">
        <v>5</v>
      </c>
      <c r="G51" s="459" t="n">
        <v>200000</v>
      </c>
      <c r="H51" s="459" t="inlineStr">
        <is>
          <t>서상웅 님의 상품별 가입담보상세 2026-05-14 10:32:45 (55세 ,남자) ※ 기준담보/권장금액 : 기본형(37개)/표준형 흥국화재</t>
        </is>
      </c>
      <c r="I51" s="459" t="inlineStr">
        <is>
          <t>2026-01-26</t>
        </is>
      </c>
      <c r="J51" s="459" t="inlineStr">
        <is>
          <t>무배당 흥Good 든든한 3N5 간편종합보험(26.01)_(2종)(20년갱신형)(통합간편가입형)(해약환급금미지급형) (1/2)</t>
        </is>
      </c>
      <c r="K51" s="459" t="inlineStr">
        <is>
          <t>142,915원</t>
        </is>
      </c>
      <c r="L51" s="459" t="n">
        <v>142915</v>
      </c>
      <c r="M51" s="459" t="inlineStr">
        <is>
          <t>골절/화상</t>
        </is>
      </c>
    </row>
    <row r="52">
      <c r="A52" s="459" t="inlineStr">
        <is>
          <t>19</t>
        </is>
      </c>
      <c r="B52" s="459" t="inlineStr">
        <is>
          <t>정액</t>
        </is>
      </c>
      <c r="C52" s="459" t="inlineStr">
        <is>
          <t>뇌혈관질환수술비Ⅱ(통합간편가입형)(갱신형_20년)</t>
        </is>
      </c>
      <c r="D52" s="459" t="inlineStr">
        <is>
          <t>뇌혈관질환수술</t>
        </is>
      </c>
      <c r="E52" s="459" t="inlineStr">
        <is>
          <t>1,000만</t>
        </is>
      </c>
      <c r="F52" s="459" t="n">
        <v>5</v>
      </c>
      <c r="G52" s="459" t="n">
        <v>10000000</v>
      </c>
      <c r="H52" s="459" t="inlineStr">
        <is>
          <t>서상웅 님의 상품별 가입담보상세 2026-05-14 10:32:45 (55세 ,남자) ※ 기준담보/권장금액 : 기본형(37개)/표준형 흥국화재</t>
        </is>
      </c>
      <c r="I52" s="459" t="inlineStr">
        <is>
          <t>2026-01-26</t>
        </is>
      </c>
      <c r="J52" s="459" t="inlineStr">
        <is>
          <t>무배당 흥Good 든든한 3N5 간편종합보험(26.01)_(2종)(20년갱신형)(통합간편가입형)(해약환급금미지급형) (1/2)</t>
        </is>
      </c>
      <c r="K52" s="459" t="inlineStr">
        <is>
          <t>142,915원</t>
        </is>
      </c>
      <c r="L52" s="459" t="n">
        <v>142915</v>
      </c>
      <c r="M52" s="459" t="inlineStr">
        <is>
          <t>뇌혈관 수술비</t>
        </is>
      </c>
    </row>
    <row r="53">
      <c r="A53" s="459" t="inlineStr">
        <is>
          <t>20</t>
        </is>
      </c>
      <c r="B53" s="459" t="inlineStr">
        <is>
          <t>정액</t>
        </is>
      </c>
      <c r="C53" s="459" t="inlineStr">
        <is>
          <t>허혈성심질환수술비Ⅱ(통합간편가입형)(갱신형_20년)</t>
        </is>
      </c>
      <c r="D53" s="459" t="inlineStr">
        <is>
          <t>허혈성심장질환수술</t>
        </is>
      </c>
      <c r="E53" s="459" t="inlineStr">
        <is>
          <t>1,000만</t>
        </is>
      </c>
      <c r="F53" s="459" t="n">
        <v>5</v>
      </c>
      <c r="G53" s="459" t="n">
        <v>10000000</v>
      </c>
      <c r="H53" s="459" t="inlineStr">
        <is>
          <t>서상웅 님의 상품별 가입담보상세 2026-05-14 10:32:45 (55세 ,남자) ※ 기준담보/권장금액 : 기본형(37개)/표준형 흥국화재</t>
        </is>
      </c>
      <c r="I53" s="459" t="inlineStr">
        <is>
          <t>2026-01-26</t>
        </is>
      </c>
      <c r="J53" s="459" t="inlineStr">
        <is>
          <t>무배당 흥Good 든든한 3N5 간편종합보험(26.01)_(2종)(20년갱신형)(통합간편가입형)(해약환급금미지급형) (1/2)</t>
        </is>
      </c>
      <c r="K53" s="459" t="inlineStr">
        <is>
          <t>142,915원</t>
        </is>
      </c>
      <c r="L53" s="459" t="n">
        <v>142915</v>
      </c>
      <c r="M53" s="459" t="inlineStr">
        <is>
          <t>허혈성심장질환 수술비</t>
        </is>
      </c>
    </row>
    <row r="54">
      <c r="A54" s="459" t="inlineStr">
        <is>
          <t>21</t>
        </is>
      </c>
      <c r="B54" s="459" t="inlineStr">
        <is>
          <t>정액</t>
        </is>
      </c>
      <c r="C54" s="459" t="inlineStr">
        <is>
          <t>다빈치로봇</t>
        </is>
      </c>
      <c r="D54" s="459" t="inlineStr">
        <is>
          <t>특정수술비(연간1회한)(통합간편가입형)(갱신 특정질병수술</t>
        </is>
      </c>
      <c r="E54" s="459" t="inlineStr">
        <is>
          <t>100만</t>
        </is>
      </c>
      <c r="F54" s="459" t="n">
        <v>5</v>
      </c>
      <c r="G54" s="459" t="n">
        <v>1000000</v>
      </c>
      <c r="H54" s="459" t="inlineStr">
        <is>
          <t>서상웅 님의 상품별 가입담보상세 2026-05-14 10:32:45 (55세 ,남자) ※ 기준담보/권장금액 : 기본형(37개)/표준형 흥국화재</t>
        </is>
      </c>
      <c r="I54" s="459" t="inlineStr">
        <is>
          <t>2026-01-26</t>
        </is>
      </c>
      <c r="J54" s="459" t="inlineStr">
        <is>
          <t>무배당 흥Good 든든한 3N5 간편종합보험(26.01)_(2종)(20년갱신형)(통합간편가입형)(해약환급금미지급형) (1/2)</t>
        </is>
      </c>
      <c r="K54" s="459" t="inlineStr">
        <is>
          <t>142,915원</t>
        </is>
      </c>
      <c r="L54" s="459" t="n">
        <v>142915</v>
      </c>
      <c r="M54" s="459" t="inlineStr">
        <is>
          <t>질병수술비</t>
        </is>
      </c>
    </row>
    <row r="55">
      <c r="A55" s="459" t="inlineStr">
        <is>
          <t>22</t>
        </is>
      </c>
      <c r="B55" s="459" t="inlineStr">
        <is>
          <t>정액</t>
        </is>
      </c>
      <c r="C55" s="459" t="inlineStr">
        <is>
          <t>심장부정맥 고주파·냉각절제술(급여_연간1회한)(통합간편</t>
        </is>
      </c>
      <c r="D55" s="459" t="inlineStr">
        <is>
          <t>특정질병수술</t>
        </is>
      </c>
      <c r="E55" s="459" t="inlineStr">
        <is>
          <t>100만</t>
        </is>
      </c>
      <c r="F55" s="459" t="n">
        <v>5</v>
      </c>
      <c r="G55" s="459" t="n">
        <v>1000000</v>
      </c>
      <c r="H55" s="459" t="inlineStr">
        <is>
          <t>서상웅 님의 상품별 가입담보상세 2026-05-14 10:32:45 (55세 ,남자) ※ 기준담보/권장금액 : 기본형(37개)/표준형 흥국화재</t>
        </is>
      </c>
      <c r="I55" s="459" t="inlineStr">
        <is>
          <t>2026-01-26</t>
        </is>
      </c>
      <c r="J55" s="459" t="inlineStr">
        <is>
          <t>무배당 흥Good 든든한 3N5 간편종합보험(26.01)_(2종)(20년갱신형)(통합간편가입형)(해약환급금미지급형) (1/2)</t>
        </is>
      </c>
      <c r="K55" s="459" t="inlineStr">
        <is>
          <t>142,915원</t>
        </is>
      </c>
      <c r="L55" s="459" t="n">
        <v>142915</v>
      </c>
      <c r="M55" s="459" t="inlineStr">
        <is>
          <t>질병수술비</t>
        </is>
      </c>
    </row>
    <row r="56">
      <c r="A56" s="459" t="inlineStr">
        <is>
          <t>23</t>
        </is>
      </c>
      <c r="B56" s="459" t="inlineStr">
        <is>
          <t>정액</t>
        </is>
      </c>
      <c r="C56" s="459" t="inlineStr">
        <is>
          <t>다빈치및레보아이로봇</t>
        </is>
      </c>
      <c r="D56" s="459" t="inlineStr">
        <is>
          <t>암수술비(갑상선암 및 전립선암 제외 암수술</t>
        </is>
      </c>
      <c r="E56" s="459" t="inlineStr">
        <is>
          <t>1,000만</t>
        </is>
      </c>
      <c r="F56" s="459" t="n">
        <v>5</v>
      </c>
      <c r="G56" s="459" t="n">
        <v>10000000</v>
      </c>
      <c r="H56" s="459" t="inlineStr">
        <is>
          <t>서상웅 님의 상품별 가입담보상세 2026-05-14 10:32:45 (55세 ,남자) ※ 기준담보/권장금액 : 기본형(37개)/표준형 흥국화재</t>
        </is>
      </c>
      <c r="I56" s="459" t="inlineStr">
        <is>
          <t>2026-01-26</t>
        </is>
      </c>
      <c r="J56" s="459" t="inlineStr">
        <is>
          <t>무배당 흥Good 든든한 3N5 간편종합보험(26.01)_(2종)(20년갱신형)(통합간편가입형)(해약환급금미지급형) (1/2)</t>
        </is>
      </c>
      <c r="K56" s="459" t="inlineStr">
        <is>
          <t>142,915원</t>
        </is>
      </c>
      <c r="L56" s="459" t="n">
        <v>142915</v>
      </c>
      <c r="M56" s="459" t="inlineStr">
        <is>
          <t>미분류</t>
        </is>
      </c>
    </row>
    <row r="57">
      <c r="A57" s="459" t="inlineStr">
        <is>
          <t>24</t>
        </is>
      </c>
      <c r="B57" s="459" t="inlineStr">
        <is>
          <t>정액</t>
        </is>
      </c>
      <c r="C57" s="459" t="inlineStr">
        <is>
          <t>다빈치및레보아이로봇</t>
        </is>
      </c>
      <c r="D57" s="459" t="inlineStr">
        <is>
          <t>암수술비(갑상선암 및 전립선암)(최 암수술</t>
        </is>
      </c>
      <c r="E57" s="459" t="inlineStr">
        <is>
          <t>1,000만</t>
        </is>
      </c>
      <c r="F57" s="459" t="n">
        <v>5</v>
      </c>
      <c r="G57" s="459" t="n">
        <v>10000000</v>
      </c>
      <c r="H57" s="459" t="inlineStr">
        <is>
          <t>서상웅 님의 상품별 가입담보상세 2026-05-14 10:32:45 (55세 ,남자) ※ 기준담보/권장금액 : 기본형(37개)/표준형 흥국화재</t>
        </is>
      </c>
      <c r="I57" s="459" t="inlineStr">
        <is>
          <t>2026-01-26</t>
        </is>
      </c>
      <c r="J57" s="459" t="inlineStr">
        <is>
          <t>무배당 흥Good 든든한 3N5 간편종합보험(26.01)_(2종)(20년갱신형)(통합간편가입형)(해약환급금미지급형) (1/2)</t>
        </is>
      </c>
      <c r="K57" s="459" t="inlineStr">
        <is>
          <t>142,915원</t>
        </is>
      </c>
      <c r="L57" s="459" t="n">
        <v>142915</v>
      </c>
      <c r="M57" s="459" t="inlineStr">
        <is>
          <t>미분류</t>
        </is>
      </c>
    </row>
    <row r="58">
      <c r="A58" s="459" t="inlineStr">
        <is>
          <t>25</t>
        </is>
      </c>
      <c r="B58" s="459" t="inlineStr">
        <is>
          <t>정액</t>
        </is>
      </c>
      <c r="C58" s="459" t="inlineStr">
        <is>
          <t>8대기관</t>
        </is>
      </c>
      <c r="D58" s="459" t="inlineStr">
        <is>
          <t>양성신생물(용종포함)수술비(연간1회한)(통합간 특정암수술</t>
        </is>
      </c>
      <c r="E58" s="459" t="inlineStr">
        <is>
          <t>10만</t>
        </is>
      </c>
      <c r="F58" s="459" t="n">
        <v>5</v>
      </c>
      <c r="G58" s="459" t="n">
        <v>100000</v>
      </c>
      <c r="H58" s="459" t="inlineStr">
        <is>
          <t>서상웅 님의 상품별 가입담보상세 2026-05-14 10:32:45 (55세 ,남자) ※ 기준담보/권장금액 : 기본형(37개)/표준형 흥국화재</t>
        </is>
      </c>
      <c r="I58" s="459" t="inlineStr">
        <is>
          <t>2026-01-26</t>
        </is>
      </c>
      <c r="J58" s="459" t="inlineStr">
        <is>
          <t>무배당 흥Good 든든한 3N5 간편종합보험(26.01)_(2종)(20년갱신형)(통합간편가입형)(해약환급금미지급형) (1/2)</t>
        </is>
      </c>
      <c r="K58" s="459" t="inlineStr">
        <is>
          <t>142,915원</t>
        </is>
      </c>
      <c r="L58" s="459" t="n">
        <v>142915</v>
      </c>
      <c r="M58" s="459" t="inlineStr">
        <is>
          <t>미분류</t>
        </is>
      </c>
    </row>
    <row r="59">
      <c r="A59" s="459" t="inlineStr">
        <is>
          <t>26</t>
        </is>
      </c>
      <c r="B59" s="459" t="inlineStr">
        <is>
          <t>정액</t>
        </is>
      </c>
      <c r="C59" s="459" t="inlineStr">
        <is>
          <t>골절수술비(통합간편가입형)(갱신형_20년)</t>
        </is>
      </c>
      <c r="D59" s="459" t="inlineStr">
        <is>
          <t>골절수술</t>
        </is>
      </c>
      <c r="E59" s="459" t="inlineStr">
        <is>
          <t>30만</t>
        </is>
      </c>
      <c r="F59" s="459" t="n">
        <v>5</v>
      </c>
      <c r="G59" s="459" t="n">
        <v>300000</v>
      </c>
      <c r="H59" s="459" t="inlineStr">
        <is>
          <t>서상웅 님의 상품별 가입담보상세 2026-05-14 10:32:45 (55세 ,남자) ※ 기준담보/권장금액 : 기본형(37개)/표준형 흥국화재</t>
        </is>
      </c>
      <c r="I59" s="459" t="inlineStr">
        <is>
          <t>2026-01-26</t>
        </is>
      </c>
      <c r="J59" s="459" t="inlineStr">
        <is>
          <t>무배당 흥Good 든든한 3N5 간편종합보험(26.01)_(2종)(20년갱신형)(통합간편가입형)(해약환급금미지급형) (1/2)</t>
        </is>
      </c>
      <c r="K59" s="459" t="inlineStr">
        <is>
          <t>142,915원</t>
        </is>
      </c>
      <c r="L59" s="459" t="n">
        <v>142915</v>
      </c>
      <c r="M59" s="459" t="inlineStr">
        <is>
          <t>골절/화상</t>
        </is>
      </c>
    </row>
    <row r="60">
      <c r="A60" s="459" t="inlineStr">
        <is>
          <t>27</t>
        </is>
      </c>
      <c r="B60" s="459" t="inlineStr">
        <is>
          <t>정액</t>
        </is>
      </c>
      <c r="C60" s="459" t="inlineStr">
        <is>
          <t>화상수술비(통합간편가입형)(갱신형_20년)</t>
        </is>
      </c>
      <c r="D60" s="459" t="inlineStr">
        <is>
          <t>화상수술</t>
        </is>
      </c>
      <c r="E60" s="459" t="inlineStr">
        <is>
          <t>20만</t>
        </is>
      </c>
      <c r="F60" s="459" t="n">
        <v>5</v>
      </c>
      <c r="G60" s="459" t="n">
        <v>200000</v>
      </c>
      <c r="H60" s="459" t="inlineStr">
        <is>
          <t>서상웅 님의 상품별 가입담보상세 2026-05-14 10:32:45 (55세 ,남자) ※ 기준담보/권장금액 : 기본형(37개)/표준형 흥국화재</t>
        </is>
      </c>
      <c r="I60" s="459" t="inlineStr">
        <is>
          <t>2026-01-26</t>
        </is>
      </c>
      <c r="J60" s="459" t="inlineStr">
        <is>
          <t>무배당 흥Good 든든한 3N5 간편종합보험(26.01)_(2종)(20년갱신형)(통합간편가입형)(해약환급금미지급형) (1/2)</t>
        </is>
      </c>
      <c r="K60" s="459" t="inlineStr">
        <is>
          <t>142,915원</t>
        </is>
      </c>
      <c r="L60" s="459" t="n">
        <v>142915</v>
      </c>
      <c r="M60" s="459" t="inlineStr">
        <is>
          <t>골절/화상</t>
        </is>
      </c>
    </row>
    <row r="61">
      <c r="A61" s="459" t="inlineStr">
        <is>
          <t>28</t>
        </is>
      </c>
      <c r="B61" s="459" t="inlineStr">
        <is>
          <t>정액</t>
        </is>
      </c>
      <c r="C61" s="459" t="inlineStr">
        <is>
          <t>깁스치료비(갱신형_20년)</t>
        </is>
      </c>
      <c r="D61" s="459" t="inlineStr">
        <is>
          <t>깁스치료</t>
        </is>
      </c>
      <c r="E61" s="459" t="inlineStr">
        <is>
          <t>20만</t>
        </is>
      </c>
      <c r="F61" s="459" t="n">
        <v>5</v>
      </c>
      <c r="G61" s="459" t="n">
        <v>200000</v>
      </c>
      <c r="H61" s="459" t="inlineStr">
        <is>
          <t>서상웅 님의 상품별 가입담보상세 2026-05-14 10:32:45 (55세 ,남자) ※ 기준담보/권장금액 : 기본형(37개)/표준형 흥국화재</t>
        </is>
      </c>
      <c r="I61" s="459" t="inlineStr">
        <is>
          <t>2026-01-26</t>
        </is>
      </c>
      <c r="J61" s="459" t="inlineStr">
        <is>
          <t>무배당 흥Good 든든한 3N5 간편종합보험(26.01)_(2종)(20년갱신형)(통합간편가입형)(해약환급금미지급형) (1/2)</t>
        </is>
      </c>
      <c r="K61" s="459" t="inlineStr">
        <is>
          <t>142,915원</t>
        </is>
      </c>
      <c r="L61" s="459" t="n">
        <v>142915</v>
      </c>
      <c r="M61" s="459" t="inlineStr">
        <is>
          <t>미분류</t>
        </is>
      </c>
    </row>
    <row r="62">
      <c r="A62" s="459" t="inlineStr">
        <is>
          <t>29</t>
        </is>
      </c>
      <c r="B62" s="459" t="inlineStr">
        <is>
          <t>정액</t>
        </is>
      </c>
      <c r="C62" s="459" t="inlineStr">
        <is>
          <t>관상동맥 스텐트삽입술치료비(급여_연간1회한)(통합간편가</t>
        </is>
      </c>
      <c r="D62" s="459" t="inlineStr">
        <is>
          <t>기타 인보험(정액)담보</t>
        </is>
      </c>
      <c r="E62" s="459" t="inlineStr">
        <is>
          <t>100만</t>
        </is>
      </c>
      <c r="F62" s="459" t="n">
        <v>5</v>
      </c>
      <c r="G62" s="459" t="n">
        <v>1000000</v>
      </c>
      <c r="H62" s="459" t="inlineStr">
        <is>
          <t>서상웅 님의 상품별 가입담보상세 2026-05-14 10:32:45 (55세 ,남자) ※ 기준담보/권장금액 : 기본형(37개)/표준형 흥국화재</t>
        </is>
      </c>
      <c r="I62" s="459" t="inlineStr">
        <is>
          <t>2026-01-26</t>
        </is>
      </c>
      <c r="J62" s="459" t="inlineStr">
        <is>
          <t>무배당 흥Good 든든한 3N5 간편종합보험(26.01)_(2종)(20년갱신형)(통합간편가입형)(해약환급금미지급형) (1/2)</t>
        </is>
      </c>
      <c r="K62" s="459" t="inlineStr">
        <is>
          <t>142,915원</t>
        </is>
      </c>
      <c r="L62" s="459" t="n">
        <v>142915</v>
      </c>
      <c r="M62" s="459" t="inlineStr">
        <is>
          <t>미분류</t>
        </is>
      </c>
    </row>
    <row r="63">
      <c r="A63" s="459" t="inlineStr">
        <is>
          <t>30</t>
        </is>
      </c>
      <c r="B63" s="459" t="inlineStr">
        <is>
          <t>정액</t>
        </is>
      </c>
      <c r="C63" s="459" t="inlineStr">
        <is>
          <t>뇌혈관 및 대동맥 스텐트삽입술치료비(급여_각각</t>
        </is>
      </c>
      <c r="D63" s="459" t="inlineStr">
        <is>
          <t>연간1회 기타 인보험(정액)담보</t>
        </is>
      </c>
      <c r="E63" s="459" t="inlineStr">
        <is>
          <t>100만</t>
        </is>
      </c>
      <c r="F63" s="459" t="n">
        <v>5</v>
      </c>
      <c r="G63" s="459" t="n">
        <v>1000000</v>
      </c>
      <c r="H63" s="459" t="inlineStr">
        <is>
          <t>서상웅 님의 상품별 가입담보상세 2026-05-14 10:32:45 (55세 ,남자) ※ 기준담보/권장금액 : 기본형(37개)/표준형 흥국화재</t>
        </is>
      </c>
      <c r="I63" s="459" t="inlineStr">
        <is>
          <t>2026-01-26</t>
        </is>
      </c>
      <c r="J63" s="459" t="inlineStr">
        <is>
          <t>무배당 흥Good 든든한 3N5 간편종합보험(26.01)_(2종)(20년갱신형)(통합간편가입형)(해약환급금미지급형) (1/2)</t>
        </is>
      </c>
      <c r="K63" s="459" t="inlineStr">
        <is>
          <t>142,915원</t>
        </is>
      </c>
      <c r="L63" s="459" t="n">
        <v>142915</v>
      </c>
      <c r="M63" s="459" t="inlineStr">
        <is>
          <t>미분류</t>
        </is>
      </c>
    </row>
    <row r="64">
      <c r="A64" s="459" t="inlineStr">
        <is>
          <t>31</t>
        </is>
      </c>
      <c r="B64" s="459" t="inlineStr">
        <is>
          <t>정액</t>
        </is>
      </c>
      <c r="C64" s="459" t="inlineStr">
        <is>
          <t>소화·비뇨기관 및 기타혈관 스텐트삽입술치료비(급여_각각</t>
        </is>
      </c>
      <c r="D64" s="459" t="inlineStr">
        <is>
          <t>기타 인보험(정액)담보</t>
        </is>
      </c>
      <c r="E64" s="459" t="inlineStr">
        <is>
          <t>20만</t>
        </is>
      </c>
      <c r="F64" s="459" t="n">
        <v>5</v>
      </c>
      <c r="G64" s="459" t="n">
        <v>200000</v>
      </c>
      <c r="H64" s="459" t="inlineStr">
        <is>
          <t>서상웅 님의 상품별 가입담보상세 2026-05-14 10:32:45 (55세 ,남자) ※ 기준담보/권장금액 : 기본형(37개)/표준형 흥국화재</t>
        </is>
      </c>
      <c r="I64" s="459" t="inlineStr">
        <is>
          <t>2026-01-26</t>
        </is>
      </c>
      <c r="J64" s="459" t="inlineStr">
        <is>
          <t>무배당 흥Good 든든한 3N5 간편종합보험(26.01)_(2종)(20년갱신형)(통합간편가입형)(해약환급금미지급형) (1/2)</t>
        </is>
      </c>
      <c r="K64" s="459" t="inlineStr">
        <is>
          <t>142,915원</t>
        </is>
      </c>
      <c r="L64" s="459" t="n">
        <v>142915</v>
      </c>
      <c r="M64" s="459" t="inlineStr">
        <is>
          <t>미분류</t>
        </is>
      </c>
    </row>
    <row r="65">
      <c r="A65" s="459" t="inlineStr">
        <is>
          <t>32</t>
        </is>
      </c>
      <c r="B65" s="459" t="inlineStr">
        <is>
          <t>정액</t>
        </is>
      </c>
      <c r="C65" s="459" t="inlineStr">
        <is>
          <t>순환계질환 주요치료비_수술비(혈전제거제외)(연간1회한)</t>
        </is>
      </c>
      <c r="D65" s="459" t="inlineStr">
        <is>
          <t>기타 인보험(정액)담보</t>
        </is>
      </c>
      <c r="E65" s="459" t="inlineStr">
        <is>
          <t>1,000만</t>
        </is>
      </c>
      <c r="F65" s="459" t="n">
        <v>5</v>
      </c>
      <c r="G65" s="459" t="n">
        <v>10000000</v>
      </c>
      <c r="H65" s="459" t="inlineStr">
        <is>
          <t>서상웅 님의 상품별 가입담보상세 2026-05-14 10:32:45 (55세 ,남자) ※ 기준담보/권장금액 : 기본형(37개)/표준형 흥국화재</t>
        </is>
      </c>
      <c r="I65" s="459" t="inlineStr">
        <is>
          <t>2026-01-26</t>
        </is>
      </c>
      <c r="J65" s="459" t="inlineStr">
        <is>
          <t>무배당 흥Good 든든한 3N5 간편종합보험(26.01)_(2종)(20년갱신형)(통합간편가입형)(해약환급금미지급형) (1/2)</t>
        </is>
      </c>
      <c r="K65" s="459" t="inlineStr">
        <is>
          <t>142,915원</t>
        </is>
      </c>
      <c r="L65" s="459" t="n">
        <v>142915</v>
      </c>
      <c r="M65" s="459" t="inlineStr">
        <is>
          <t>미분류</t>
        </is>
      </c>
    </row>
    <row r="66">
      <c r="A66" s="459" t="inlineStr">
        <is>
          <t>33</t>
        </is>
      </c>
      <c r="B66" s="459" t="inlineStr">
        <is>
          <t>정액</t>
        </is>
      </c>
      <c r="C66" s="459" t="inlineStr">
        <is>
          <t>순환계질환 주요치료비_중환자실치료비(종합병원)(연간1회</t>
        </is>
      </c>
      <c r="D66" s="459" t="inlineStr">
        <is>
          <t>기타 인보험(정액)담보</t>
        </is>
      </c>
      <c r="E66" s="459" t="inlineStr">
        <is>
          <t>1,000만</t>
        </is>
      </c>
      <c r="F66" s="459" t="n">
        <v>5</v>
      </c>
      <c r="G66" s="459" t="n">
        <v>10000000</v>
      </c>
      <c r="H66" s="459" t="inlineStr">
        <is>
          <t>서상웅 님의 상품별 가입담보상세 2026-05-14 10:32:45 (55세 ,남자) ※ 기준담보/권장금액 : 기본형(37개)/표준형 흥국화재</t>
        </is>
      </c>
      <c r="I66" s="459" t="inlineStr">
        <is>
          <t>2026-01-26</t>
        </is>
      </c>
      <c r="J66" s="459" t="inlineStr">
        <is>
          <t>무배당 흥Good 든든한 3N5 간편종합보험(26.01)_(2종)(20년갱신형)(통합간편가입형)(해약환급금미지급형) (1/2)</t>
        </is>
      </c>
      <c r="K66" s="459" t="inlineStr">
        <is>
          <t>142,915원</t>
        </is>
      </c>
      <c r="L66" s="459" t="n">
        <v>142915</v>
      </c>
      <c r="M66" s="459" t="inlineStr">
        <is>
          <t>미분류</t>
        </is>
      </c>
    </row>
    <row r="67">
      <c r="A67" s="459" t="inlineStr">
        <is>
          <t>34</t>
        </is>
      </c>
      <c r="B67" s="459" t="inlineStr">
        <is>
          <t>정액</t>
        </is>
      </c>
      <c r="C67" s="459" t="inlineStr">
        <is>
          <t>순환계질환 주요치료비_혈전용해치료비(연간1회한)(통합간</t>
        </is>
      </c>
      <c r="D67" s="459" t="inlineStr">
        <is>
          <t>기타 인보험(정액)담보</t>
        </is>
      </c>
      <c r="E67" s="459" t="inlineStr">
        <is>
          <t>500만</t>
        </is>
      </c>
      <c r="F67" s="459" t="n">
        <v>5</v>
      </c>
      <c r="G67" s="459" t="n">
        <v>5000000</v>
      </c>
      <c r="H67" s="459" t="inlineStr">
        <is>
          <t>서상웅 님의 상품별 가입담보상세 2026-05-14 10:32:45 (55세 ,남자) ※ 기준담보/권장금액 : 기본형(37개)/표준형 흥국화재</t>
        </is>
      </c>
      <c r="I67" s="459" t="inlineStr">
        <is>
          <t>2026-01-26</t>
        </is>
      </c>
      <c r="J67" s="459" t="inlineStr">
        <is>
          <t>무배당 흥Good 든든한 3N5 간편종합보험(26.01)_(2종)(20년갱신형)(통합간편가입형)(해약환급금미지급형) (1/2)</t>
        </is>
      </c>
      <c r="K67" s="459" t="inlineStr">
        <is>
          <t>142,915원</t>
        </is>
      </c>
      <c r="L67" s="459" t="n">
        <v>142915</v>
      </c>
      <c r="M67" s="459" t="inlineStr">
        <is>
          <t>미분류</t>
        </is>
      </c>
    </row>
    <row r="68">
      <c r="A68" s="459" t="inlineStr">
        <is>
          <t>35</t>
        </is>
      </c>
      <c r="B68" s="459" t="inlineStr">
        <is>
          <t>정액</t>
        </is>
      </c>
      <c r="C68" s="459" t="inlineStr">
        <is>
          <t>순환계질환 주요치료비_혈전제거치료비(연간1회한)(통합간</t>
        </is>
      </c>
      <c r="D68" s="459" t="inlineStr">
        <is>
          <t>기타 인보험(정액)담보</t>
        </is>
      </c>
      <c r="E68" s="459" t="inlineStr">
        <is>
          <t>1,000만</t>
        </is>
      </c>
      <c r="F68" s="459" t="n">
        <v>6</v>
      </c>
      <c r="G68" s="459" t="n">
        <v>10000000</v>
      </c>
      <c r="H68" s="459" t="inlineStr">
        <is>
          <t>서상웅 님의 상품별 가입담보상세 2026-05-14 10:32:45 (55세 ,남자) ※ 기준담보/권장금액 : 기본형(37개)/표준형 흥국화재</t>
        </is>
      </c>
      <c r="I68" s="459" t="inlineStr">
        <is>
          <t>2026-01-26</t>
        </is>
      </c>
      <c r="J68" s="459" t="inlineStr">
        <is>
          <t>무배당 흥Good 든든한 3N5 간편종합보험(26.01)_(2종)(20년갱신형)(통합간편가입형)(해약환급금미지급형) (2/2)</t>
        </is>
      </c>
      <c r="K68" s="459" t="inlineStr">
        <is>
          <t>142,915원</t>
        </is>
      </c>
      <c r="L68" s="459" t="n">
        <v>142915</v>
      </c>
      <c r="M68" s="459" t="inlineStr">
        <is>
          <t>미분류</t>
        </is>
      </c>
    </row>
    <row r="69">
      <c r="A69" s="459" t="inlineStr">
        <is>
          <t>36</t>
        </is>
      </c>
      <c r="B69" s="459" t="inlineStr">
        <is>
          <t>정액</t>
        </is>
      </c>
      <c r="C69" s="459" t="inlineStr">
        <is>
          <t>암주요치료비Ⅱ(유사암)(치료별</t>
        </is>
      </c>
      <c r="D69" s="459" t="inlineStr">
        <is>
          <t>연간1회한)(통합간편가입 기타 인보험(정액)담보</t>
        </is>
      </c>
      <c r="E69" s="459" t="inlineStr">
        <is>
          <t>200만</t>
        </is>
      </c>
      <c r="F69" s="459" t="n">
        <v>6</v>
      </c>
      <c r="G69" s="459" t="n">
        <v>2000000</v>
      </c>
      <c r="H69" s="459" t="inlineStr">
        <is>
          <t>서상웅 님의 상품별 가입담보상세 2026-05-14 10:32:45 (55세 ,남자) ※ 기준담보/권장금액 : 기본형(37개)/표준형 흥국화재</t>
        </is>
      </c>
      <c r="I69" s="459" t="inlineStr">
        <is>
          <t>2026-01-26</t>
        </is>
      </c>
      <c r="J69" s="459" t="inlineStr">
        <is>
          <t>무배당 흥Good 든든한 3N5 간편종합보험(26.01)_(2종)(20년갱신형)(통합간편가입형)(해약환급금미지급형) (2/2)</t>
        </is>
      </c>
      <c r="K69" s="459" t="inlineStr">
        <is>
          <t>142,915원</t>
        </is>
      </c>
      <c r="L69" s="459" t="n">
        <v>142915</v>
      </c>
      <c r="M69" s="459" t="inlineStr">
        <is>
          <t>미분류</t>
        </is>
      </c>
    </row>
    <row r="70">
      <c r="A70" s="459" t="inlineStr">
        <is>
          <t>37</t>
        </is>
      </c>
      <c r="B70" s="459" t="inlineStr">
        <is>
          <t>정액</t>
        </is>
      </c>
      <c r="C70" s="459" t="inlineStr">
        <is>
          <t>암주요치료비Ⅱ(유사암제외)_암수술비(연간1회한)(통합간</t>
        </is>
      </c>
      <c r="D70" s="459" t="inlineStr">
        <is>
          <t>기타 인보험(정액)담보</t>
        </is>
      </c>
      <c r="E70" s="459" t="inlineStr">
        <is>
          <t>200만</t>
        </is>
      </c>
      <c r="F70" s="459" t="n">
        <v>6</v>
      </c>
      <c r="G70" s="459" t="n">
        <v>2000000</v>
      </c>
      <c r="H70" s="459" t="inlineStr">
        <is>
          <t>서상웅 님의 상품별 가입담보상세 2026-05-14 10:32:45 (55세 ,남자) ※ 기준담보/권장금액 : 기본형(37개)/표준형 흥국화재</t>
        </is>
      </c>
      <c r="I70" s="459" t="inlineStr">
        <is>
          <t>2026-01-26</t>
        </is>
      </c>
      <c r="J70" s="459" t="inlineStr">
        <is>
          <t>무배당 흥Good 든든한 3N5 간편종합보험(26.01)_(2종)(20년갱신형)(통합간편가입형)(해약환급금미지급형) (2/2)</t>
        </is>
      </c>
      <c r="K70" s="459" t="inlineStr">
        <is>
          <t>142,915원</t>
        </is>
      </c>
      <c r="L70" s="459" t="n">
        <v>142915</v>
      </c>
      <c r="M70" s="459" t="inlineStr">
        <is>
          <t>일반암 진단비</t>
        </is>
      </c>
    </row>
    <row r="71">
      <c r="A71" s="459" t="inlineStr">
        <is>
          <t>38</t>
        </is>
      </c>
      <c r="B71" s="459" t="inlineStr">
        <is>
          <t>정액</t>
        </is>
      </c>
      <c r="C71" s="459" t="inlineStr">
        <is>
          <t>암주요치료비Ⅱ(유사암제외)_암중환자실치료비(종합병원)(</t>
        </is>
      </c>
      <c r="D71" s="459" t="inlineStr">
        <is>
          <t>기타 인보험(정액)담보</t>
        </is>
      </c>
      <c r="E71" s="459" t="inlineStr">
        <is>
          <t>500만</t>
        </is>
      </c>
      <c r="F71" s="459" t="n">
        <v>6</v>
      </c>
      <c r="G71" s="459" t="n">
        <v>5000000</v>
      </c>
      <c r="H71" s="459" t="inlineStr">
        <is>
          <t>서상웅 님의 상품별 가입담보상세 2026-05-14 10:32:45 (55세 ,남자) ※ 기준담보/권장금액 : 기본형(37개)/표준형 흥국화재</t>
        </is>
      </c>
      <c r="I71" s="459" t="inlineStr">
        <is>
          <t>2026-01-26</t>
        </is>
      </c>
      <c r="J71" s="459" t="inlineStr">
        <is>
          <t>무배당 흥Good 든든한 3N5 간편종합보험(26.01)_(2종)(20년갱신형)(통합간편가입형)(해약환급금미지급형) (2/2)</t>
        </is>
      </c>
      <c r="K71" s="459" t="inlineStr">
        <is>
          <t>142,915원</t>
        </is>
      </c>
      <c r="L71" s="459" t="n">
        <v>142915</v>
      </c>
      <c r="M71" s="459" t="inlineStr">
        <is>
          <t>일반암 진단비</t>
        </is>
      </c>
    </row>
    <row r="72">
      <c r="A72" s="459" t="inlineStr">
        <is>
          <t>39</t>
        </is>
      </c>
      <c r="B72" s="459" t="inlineStr">
        <is>
          <t>정액</t>
        </is>
      </c>
      <c r="C72" s="459" t="inlineStr">
        <is>
          <t>암주요치료비Ⅱ(유사암제외)_항암방사선치료비(연간1회한)</t>
        </is>
      </c>
      <c r="D72" s="459" t="inlineStr">
        <is>
          <t>기타 인보험(정액)담보</t>
        </is>
      </c>
      <c r="E72" s="459" t="inlineStr">
        <is>
          <t>1,000만</t>
        </is>
      </c>
      <c r="F72" s="459" t="n">
        <v>6</v>
      </c>
      <c r="G72" s="459" t="n">
        <v>10000000</v>
      </c>
      <c r="H72" s="459" t="inlineStr">
        <is>
          <t>서상웅 님의 상품별 가입담보상세 2026-05-14 10:32:45 (55세 ,남자) ※ 기준담보/권장금액 : 기본형(37개)/표준형 흥국화재</t>
        </is>
      </c>
      <c r="I72" s="459" t="inlineStr">
        <is>
          <t>2026-01-26</t>
        </is>
      </c>
      <c r="J72" s="459" t="inlineStr">
        <is>
          <t>무배당 흥Good 든든한 3N5 간편종합보험(26.01)_(2종)(20년갱신형)(통합간편가입형)(해약환급금미지급형) (2/2)</t>
        </is>
      </c>
      <c r="K72" s="459" t="inlineStr">
        <is>
          <t>142,915원</t>
        </is>
      </c>
      <c r="L72" s="459" t="n">
        <v>142915</v>
      </c>
      <c r="M72" s="459" t="inlineStr">
        <is>
          <t>일반암 진단비</t>
        </is>
      </c>
    </row>
    <row r="73">
      <c r="A73" s="459" t="inlineStr">
        <is>
          <t>40</t>
        </is>
      </c>
      <c r="B73" s="459" t="inlineStr">
        <is>
          <t>정액</t>
        </is>
      </c>
      <c r="C73" s="459" t="inlineStr">
        <is>
          <t>암주요치료비Ⅱ(유사암제외)_항암약물치료비(호르몬치료제외</t>
        </is>
      </c>
      <c r="D73" s="459" t="inlineStr">
        <is>
          <t>기타 인보험(정액)담보</t>
        </is>
      </c>
      <c r="E73" s="459" t="inlineStr">
        <is>
          <t>1,000만</t>
        </is>
      </c>
      <c r="F73" s="459" t="n">
        <v>6</v>
      </c>
      <c r="G73" s="459" t="n">
        <v>10000000</v>
      </c>
      <c r="H73" s="459" t="inlineStr">
        <is>
          <t>서상웅 님의 상품별 가입담보상세 2026-05-14 10:32:45 (55세 ,남자) ※ 기준담보/권장금액 : 기본형(37개)/표준형 흥국화재</t>
        </is>
      </c>
      <c r="I73" s="459" t="inlineStr">
        <is>
          <t>2026-01-26</t>
        </is>
      </c>
      <c r="J73" s="459" t="inlineStr">
        <is>
          <t>무배당 흥Good 든든한 3N5 간편종합보험(26.01)_(2종)(20년갱신형)(통합간편가입형)(해약환급금미지급형) (2/2)</t>
        </is>
      </c>
      <c r="K73" s="459" t="inlineStr">
        <is>
          <t>142,915원</t>
        </is>
      </c>
      <c r="L73" s="459" t="n">
        <v>142915</v>
      </c>
      <c r="M73" s="459" t="inlineStr">
        <is>
          <t>일반암 진단비</t>
        </is>
      </c>
    </row>
    <row r="74">
      <c r="A74" s="459" t="inlineStr">
        <is>
          <t>41</t>
        </is>
      </c>
      <c r="B74" s="459" t="inlineStr">
        <is>
          <t>정액</t>
        </is>
      </c>
      <c r="C74" s="459" t="inlineStr">
        <is>
          <t>암주요치료비Ⅱ(유사암제외)_항암호르몬약물치료비(연간1회</t>
        </is>
      </c>
      <c r="D74" s="459" t="inlineStr">
        <is>
          <t>기타 인보험(정액)담보</t>
        </is>
      </c>
      <c r="E74" s="459" t="inlineStr">
        <is>
          <t>200만</t>
        </is>
      </c>
      <c r="F74" s="459" t="n">
        <v>6</v>
      </c>
      <c r="G74" s="459" t="n">
        <v>2000000</v>
      </c>
      <c r="H74" s="459" t="inlineStr">
        <is>
          <t>서상웅 님의 상품별 가입담보상세 2026-05-14 10:32:45 (55세 ,남자) ※ 기준담보/권장금액 : 기본형(37개)/표준형 흥국화재</t>
        </is>
      </c>
      <c r="I74" s="459" t="inlineStr">
        <is>
          <t>2026-01-26</t>
        </is>
      </c>
      <c r="J74" s="459" t="inlineStr">
        <is>
          <t>무배당 흥Good 든든한 3N5 간편종합보험(26.01)_(2종)(20년갱신형)(통합간편가입형)(해약환급금미지급형) (2/2)</t>
        </is>
      </c>
      <c r="K74" s="459" t="inlineStr">
        <is>
          <t>142,915원</t>
        </is>
      </c>
      <c r="L74" s="459" t="n">
        <v>142915</v>
      </c>
      <c r="M74" s="459" t="inlineStr">
        <is>
          <t>일반암 진단비</t>
        </is>
      </c>
    </row>
    <row r="75">
      <c r="A75" s="459" t="inlineStr">
        <is>
          <t>42</t>
        </is>
      </c>
      <c r="B75" s="459" t="inlineStr">
        <is>
          <t>정액</t>
        </is>
      </c>
      <c r="C75" s="459" t="inlineStr">
        <is>
          <t>체외충격파쇄석술치료비(ELECTRODE)(급여_연간1회</t>
        </is>
      </c>
      <c r="D75" s="459" t="inlineStr">
        <is>
          <t>기타 인보험(정액)담보</t>
        </is>
      </c>
      <c r="E75" s="459" t="inlineStr">
        <is>
          <t>5만</t>
        </is>
      </c>
      <c r="F75" s="459" t="n">
        <v>6</v>
      </c>
      <c r="G75" s="459" t="n">
        <v>50000</v>
      </c>
      <c r="H75" s="459" t="inlineStr">
        <is>
          <t>서상웅 님의 상품별 가입담보상세 2026-05-14 10:32:45 (55세 ,남자) ※ 기준담보/권장금액 : 기본형(37개)/표준형 흥국화재</t>
        </is>
      </c>
      <c r="I75" s="459" t="inlineStr">
        <is>
          <t>2026-01-26</t>
        </is>
      </c>
      <c r="J75" s="459" t="inlineStr">
        <is>
          <t>무배당 흥Good 든든한 3N5 간편종합보험(26.01)_(2종)(20년갱신형)(통합간편가입형)(해약환급금미지급형) (2/2)</t>
        </is>
      </c>
      <c r="K75" s="459" t="inlineStr">
        <is>
          <t>142,915원</t>
        </is>
      </c>
      <c r="L75" s="459" t="n">
        <v>142915</v>
      </c>
      <c r="M75" s="459" t="inlineStr">
        <is>
          <t>미분류</t>
        </is>
      </c>
    </row>
    <row r="76">
      <c r="A76" s="459" t="inlineStr">
        <is>
          <t>43</t>
        </is>
      </c>
      <c r="B76" s="459" t="inlineStr">
        <is>
          <t>정액</t>
        </is>
      </c>
      <c r="C76" s="459" t="inlineStr">
        <is>
          <t>체외충격파쇄석술치료비(ELECTRODE제외)(급여_연간</t>
        </is>
      </c>
      <c r="D76" s="459" t="inlineStr">
        <is>
          <t>기타 인보험(정액)담보</t>
        </is>
      </c>
      <c r="E76" s="459" t="inlineStr">
        <is>
          <t>20만</t>
        </is>
      </c>
      <c r="F76" s="459" t="n">
        <v>6</v>
      </c>
      <c r="G76" s="459" t="n">
        <v>200000</v>
      </c>
      <c r="H76" s="459" t="inlineStr">
        <is>
          <t>서상웅 님의 상품별 가입담보상세 2026-05-14 10:32:45 (55세 ,남자) ※ 기준담보/권장금액 : 기본형(37개)/표준형 흥국화재</t>
        </is>
      </c>
      <c r="I76" s="459" t="inlineStr">
        <is>
          <t>2026-01-26</t>
        </is>
      </c>
      <c r="J76" s="459" t="inlineStr">
        <is>
          <t>무배당 흥Good 든든한 3N5 간편종합보험(26.01)_(2종)(20년갱신형)(통합간편가입형)(해약환급금미지급형) (2/2)</t>
        </is>
      </c>
      <c r="K76" s="459" t="inlineStr">
        <is>
          <t>142,915원</t>
        </is>
      </c>
      <c r="L76" s="459" t="n">
        <v>142915</v>
      </c>
      <c r="M76" s="459" t="inlineStr">
        <is>
          <t>미분류</t>
        </is>
      </c>
    </row>
    <row r="77">
      <c r="A77" s="459" t="inlineStr">
        <is>
          <t>44</t>
        </is>
      </c>
      <c r="B77" s="459" t="inlineStr">
        <is>
          <t>정액</t>
        </is>
      </c>
      <c r="C77" s="459" t="inlineStr">
        <is>
          <t>특정NGS유전자패널검사지원비(급여_연간1회한)(통합간편</t>
        </is>
      </c>
      <c r="D77" s="459" t="inlineStr">
        <is>
          <t>기타 인보험(정액)담보</t>
        </is>
      </c>
      <c r="E77" s="459" t="inlineStr">
        <is>
          <t>100만</t>
        </is>
      </c>
      <c r="F77" s="459" t="n">
        <v>6</v>
      </c>
      <c r="G77" s="459" t="n">
        <v>1000000</v>
      </c>
      <c r="H77" s="459" t="inlineStr">
        <is>
          <t>서상웅 님의 상품별 가입담보상세 2026-05-14 10:32:45 (55세 ,남자) ※ 기준담보/권장금액 : 기본형(37개)/표준형 흥국화재</t>
        </is>
      </c>
      <c r="I77" s="459" t="inlineStr">
        <is>
          <t>2026-01-26</t>
        </is>
      </c>
      <c r="J77" s="459" t="inlineStr">
        <is>
          <t>무배당 흥Good 든든한 3N5 간편종합보험(26.01)_(2종)(20년갱신형)(통합간편가입형)(해약환급금미지급형) (2/2)</t>
        </is>
      </c>
      <c r="K77" s="459" t="inlineStr">
        <is>
          <t>142,915원</t>
        </is>
      </c>
      <c r="L77" s="459" t="n">
        <v>142915</v>
      </c>
      <c r="M77" s="459" t="inlineStr">
        <is>
          <t>미분류</t>
        </is>
      </c>
    </row>
    <row r="78">
      <c r="A78" s="459" t="inlineStr">
        <is>
          <t>1</t>
        </is>
      </c>
      <c r="B78" s="459" t="inlineStr">
        <is>
          <t>정액</t>
        </is>
      </c>
      <c r="C78" s="459" t="inlineStr">
        <is>
          <t>[유병자형]상해</t>
        </is>
      </c>
      <c r="D78" s="459" t="inlineStr">
        <is>
          <t>사망 상해사망(유병자)</t>
        </is>
      </c>
      <c r="E78" s="459" t="inlineStr">
        <is>
          <t>1,000만</t>
        </is>
      </c>
      <c r="F78" s="459" t="n">
        <v>7</v>
      </c>
      <c r="G78" s="459" t="n">
        <v>10000000</v>
      </c>
      <c r="H78" s="459" t="inlineStr">
        <is>
          <t>서상웅 님의 상품별 가입담보상세 2026-05-14 10:32:45 (55세 ,남자) ※ 기준담보/권장금액 : 기본형(37개)/표준형 삼성화재</t>
        </is>
      </c>
      <c r="I78" s="459" t="inlineStr">
        <is>
          <t>2020-01-08</t>
        </is>
      </c>
      <c r="J78" s="459" t="inlineStr">
        <is>
          <t>무배당 삼성화재 건강보험 유병장수플러스(1910.5)3종(유병자,실속형)(자동갱신형)</t>
        </is>
      </c>
      <c r="K78" s="459" t="inlineStr">
        <is>
          <t>66,000원</t>
        </is>
      </c>
      <c r="L78" s="459" t="n">
        <v>66000</v>
      </c>
      <c r="M78" s="459" t="inlineStr">
        <is>
          <t>상해사망</t>
        </is>
      </c>
    </row>
    <row r="79">
      <c r="A79" s="459" t="inlineStr">
        <is>
          <t>2</t>
        </is>
      </c>
      <c r="B79" s="459" t="inlineStr">
        <is>
          <t>정액</t>
        </is>
      </c>
      <c r="C79" s="459" t="inlineStr">
        <is>
          <t>[유병자형]암</t>
        </is>
      </c>
      <c r="D79" s="459" t="inlineStr">
        <is>
          <t>진단비(유사암 제외) 암진단(유병자)</t>
        </is>
      </c>
      <c r="E79" s="459" t="inlineStr">
        <is>
          <t>4,000만</t>
        </is>
      </c>
      <c r="F79" s="459" t="n">
        <v>7</v>
      </c>
      <c r="G79" s="459" t="n">
        <v>40000000</v>
      </c>
      <c r="H79" s="459" t="inlineStr">
        <is>
          <t>서상웅 님의 상품별 가입담보상세 2026-05-14 10:32:45 (55세 ,남자) ※ 기준담보/권장금액 : 기본형(37개)/표준형 삼성화재</t>
        </is>
      </c>
      <c r="I79" s="459" t="inlineStr">
        <is>
          <t>2020-01-08</t>
        </is>
      </c>
      <c r="J79" s="459" t="inlineStr">
        <is>
          <t>무배당 삼성화재 건강보험 유병장수플러스(1910.5)3종(유병자,실속형)(자동갱신형)</t>
        </is>
      </c>
      <c r="K79" s="459" t="inlineStr">
        <is>
          <t>66,000원</t>
        </is>
      </c>
      <c r="L79" s="459" t="n">
        <v>66000</v>
      </c>
      <c r="M79" s="459" t="inlineStr">
        <is>
          <t>일반암 진단비</t>
        </is>
      </c>
    </row>
    <row r="80">
      <c r="A80" s="459" t="inlineStr">
        <is>
          <t>3</t>
        </is>
      </c>
      <c r="B80" s="459" t="inlineStr">
        <is>
          <t>정액</t>
        </is>
      </c>
      <c r="C80" s="459" t="inlineStr">
        <is>
          <t>[유병자형]유사암</t>
        </is>
      </c>
      <c r="D80" s="459" t="inlineStr">
        <is>
          <t>진단비 소액암진단(유사암진단)</t>
        </is>
      </c>
      <c r="E80" s="459" t="inlineStr">
        <is>
          <t>3,000만</t>
        </is>
      </c>
      <c r="F80" s="459" t="n">
        <v>7</v>
      </c>
      <c r="G80" s="459" t="n">
        <v>30000000</v>
      </c>
      <c r="H80" s="459" t="inlineStr">
        <is>
          <t>서상웅 님의 상품별 가입담보상세 2026-05-14 10:32:45 (55세 ,남자) ※ 기준담보/권장금액 : 기본형(37개)/표준형 삼성화재</t>
        </is>
      </c>
      <c r="I80" s="459" t="inlineStr">
        <is>
          <t>2020-01-08</t>
        </is>
      </c>
      <c r="J80" s="459" t="inlineStr">
        <is>
          <t>무배당 삼성화재 건강보험 유병장수플러스(1910.5)3종(유병자,실속형)(자동갱신형)</t>
        </is>
      </c>
      <c r="K80" s="459" t="inlineStr">
        <is>
          <t>66,000원</t>
        </is>
      </c>
      <c r="L80" s="459" t="n">
        <v>66000</v>
      </c>
      <c r="M80" s="459" t="inlineStr">
        <is>
          <t>일반암 진단비</t>
        </is>
      </c>
    </row>
    <row r="81">
      <c r="A81" s="459" t="inlineStr">
        <is>
          <t>4</t>
        </is>
      </c>
      <c r="B81" s="459" t="inlineStr">
        <is>
          <t>정액</t>
        </is>
      </c>
      <c r="C81" s="459" t="inlineStr">
        <is>
          <t>[유병자형]상해</t>
        </is>
      </c>
      <c r="D81" s="459" t="inlineStr">
        <is>
          <t>중환자실 입원일당(1일이상) 상해중환자실입원일당</t>
        </is>
      </c>
      <c r="E81" s="459" t="inlineStr">
        <is>
          <t>15만</t>
        </is>
      </c>
      <c r="F81" s="459" t="n">
        <v>7</v>
      </c>
      <c r="G81" s="459" t="n">
        <v>150000</v>
      </c>
      <c r="H81" s="459" t="inlineStr">
        <is>
          <t>서상웅 님의 상품별 가입담보상세 2026-05-14 10:32:45 (55세 ,남자) ※ 기준담보/권장금액 : 기본형(37개)/표준형 삼성화재</t>
        </is>
      </c>
      <c r="I81" s="459" t="inlineStr">
        <is>
          <t>2020-01-08</t>
        </is>
      </c>
      <c r="J81" s="459" t="inlineStr">
        <is>
          <t>무배당 삼성화재 건강보험 유병장수플러스(1910.5)3종(유병자,실속형)(자동갱신형)</t>
        </is>
      </c>
      <c r="K81" s="459" t="inlineStr">
        <is>
          <t>66,000원</t>
        </is>
      </c>
      <c r="L81" s="459" t="n">
        <v>66000</v>
      </c>
      <c r="M81" s="459" t="inlineStr">
        <is>
          <t>미분류</t>
        </is>
      </c>
    </row>
    <row r="82">
      <c r="A82" s="459" t="inlineStr">
        <is>
          <t>1</t>
        </is>
      </c>
      <c r="B82" s="459" t="inlineStr">
        <is>
          <t>정액</t>
        </is>
      </c>
      <c r="C82" s="459" t="inlineStr">
        <is>
          <t>[간편]상해</t>
        </is>
      </c>
      <c r="D82" s="459" t="inlineStr">
        <is>
          <t>사망 상해사망(유병자)</t>
        </is>
      </c>
      <c r="E82" s="459" t="inlineStr">
        <is>
          <t>100만</t>
        </is>
      </c>
      <c r="F82" s="459" t="n">
        <v>8</v>
      </c>
      <c r="G82" s="459" t="n">
        <v>1000000</v>
      </c>
      <c r="H82" s="459" t="inlineStr">
        <is>
          <t>서상웅 님의 상품별 가입담보상세 2026-05-14 10:32:45 (55세 ,남자) ※ 기준담보/권장금액 : 기본형(37개)/표준형 삼성화재</t>
        </is>
      </c>
      <c r="I82" s="459" t="inlineStr">
        <is>
          <t>2024-12-13</t>
        </is>
      </c>
      <c r="J82" s="459" t="inlineStr">
        <is>
          <t>무배당 삼성화재 간편보험 새로고침100세(2404.3) 4종(해약환급금 미지급형)</t>
        </is>
      </c>
      <c r="K82" s="459" t="inlineStr">
        <is>
          <t>66,071원</t>
        </is>
      </c>
      <c r="L82" s="459" t="n">
        <v>66071</v>
      </c>
      <c r="M82" s="459" t="inlineStr">
        <is>
          <t>상해사망</t>
        </is>
      </c>
    </row>
    <row r="83">
      <c r="A83" s="459" t="inlineStr">
        <is>
          <t>2</t>
        </is>
      </c>
      <c r="B83" s="459" t="inlineStr">
        <is>
          <t>정액</t>
        </is>
      </c>
      <c r="C83" s="459" t="inlineStr">
        <is>
          <t>[간편]질병 종합병원 입원일당(1일이상)(1년50%)</t>
        </is>
      </c>
      <c r="D83" s="459" t="inlineStr">
        <is>
          <t>질병입원일당</t>
        </is>
      </c>
      <c r="E83" s="459" t="inlineStr">
        <is>
          <t>2만</t>
        </is>
      </c>
      <c r="F83" s="459" t="n">
        <v>8</v>
      </c>
      <c r="G83" s="459" t="n">
        <v>20000</v>
      </c>
      <c r="H83" s="459" t="inlineStr">
        <is>
          <t>서상웅 님의 상품별 가입담보상세 2026-05-14 10:32:45 (55세 ,남자) ※ 기준담보/권장금액 : 기본형(37개)/표준형 삼성화재</t>
        </is>
      </c>
      <c r="I83" s="459" t="inlineStr">
        <is>
          <t>2024-12-13</t>
        </is>
      </c>
      <c r="J83" s="459" t="inlineStr">
        <is>
          <t>무배당 삼성화재 간편보험 새로고침100세(2404.3) 4종(해약환급금 미지급형)</t>
        </is>
      </c>
      <c r="K83" s="459" t="inlineStr">
        <is>
          <t>66,071원</t>
        </is>
      </c>
      <c r="L83" s="459" t="n">
        <v>66071</v>
      </c>
      <c r="M83" s="459" t="inlineStr">
        <is>
          <t>질병입원일당</t>
        </is>
      </c>
    </row>
    <row r="84">
      <c r="A84" s="459" t="inlineStr">
        <is>
          <t>3</t>
        </is>
      </c>
      <c r="B84" s="459" t="inlineStr">
        <is>
          <t>정액</t>
        </is>
      </c>
      <c r="C84" s="459" t="inlineStr">
        <is>
          <t>[간편]질병 입원 간병인 사용일당(1일이상)(요양병원 제외)(1년50%)</t>
        </is>
      </c>
      <c r="D84" s="459" t="inlineStr">
        <is>
          <t>간병인질병입원일당</t>
        </is>
      </c>
      <c r="E84" s="459" t="inlineStr">
        <is>
          <t>20만</t>
        </is>
      </c>
      <c r="F84" s="459" t="n">
        <v>8</v>
      </c>
      <c r="G84" s="459" t="n">
        <v>200000</v>
      </c>
      <c r="H84" s="459" t="inlineStr">
        <is>
          <t>서상웅 님의 상품별 가입담보상세 2026-05-14 10:32:45 (55세 ,남자) ※ 기준담보/권장금액 : 기본형(37개)/표준형 삼성화재</t>
        </is>
      </c>
      <c r="I84" s="459" t="inlineStr">
        <is>
          <t>2024-12-13</t>
        </is>
      </c>
      <c r="J84" s="459" t="inlineStr">
        <is>
          <t>무배당 삼성화재 간편보험 새로고침100세(2404.3) 4종(해약환급금 미지급형)</t>
        </is>
      </c>
      <c r="K84" s="459" t="inlineStr">
        <is>
          <t>66,071원</t>
        </is>
      </c>
      <c r="L84" s="459" t="n">
        <v>66071</v>
      </c>
      <c r="M84" s="459" t="inlineStr">
        <is>
          <t>질병입원일당</t>
        </is>
      </c>
    </row>
    <row r="85">
      <c r="A85" s="459" t="inlineStr">
        <is>
          <t>4</t>
        </is>
      </c>
      <c r="B85" s="459" t="inlineStr">
        <is>
          <t>정액</t>
        </is>
      </c>
      <c r="C85" s="459" t="inlineStr">
        <is>
          <t>[간편]질병 입원 간호·간병통합서비스 사용일당(1일이상)(1년50%)</t>
        </is>
      </c>
      <c r="D85" s="459" t="inlineStr">
        <is>
          <t>질병 간호·간병통합서비스사용일당</t>
        </is>
      </c>
      <c r="E85" s="459" t="inlineStr">
        <is>
          <t>7만</t>
        </is>
      </c>
      <c r="F85" s="459" t="n">
        <v>8</v>
      </c>
      <c r="G85" s="459" t="n">
        <v>70000</v>
      </c>
      <c r="H85" s="459" t="inlineStr">
        <is>
          <t>서상웅 님의 상품별 가입담보상세 2026-05-14 10:32:45 (55세 ,남자) ※ 기준담보/권장금액 : 기본형(37개)/표준형 삼성화재</t>
        </is>
      </c>
      <c r="I85" s="459" t="inlineStr">
        <is>
          <t>2024-12-13</t>
        </is>
      </c>
      <c r="J85" s="459" t="inlineStr">
        <is>
          <t>무배당 삼성화재 간편보험 새로고침100세(2404.3) 4종(해약환급금 미지급형)</t>
        </is>
      </c>
      <c r="K85" s="459" t="inlineStr">
        <is>
          <t>66,071원</t>
        </is>
      </c>
      <c r="L85" s="459" t="n">
        <v>66071</v>
      </c>
      <c r="M85" s="459" t="inlineStr">
        <is>
          <t>미분류</t>
        </is>
      </c>
    </row>
    <row r="86">
      <c r="A86" s="459" t="inlineStr">
        <is>
          <t>5</t>
        </is>
      </c>
      <c r="B86" s="459" t="inlineStr">
        <is>
          <t>정액</t>
        </is>
      </c>
      <c r="C86" s="459" t="inlineStr">
        <is>
          <t>[간편]상해</t>
        </is>
      </c>
      <c r="D86" s="459" t="inlineStr">
        <is>
          <t>입원 간병인 사용일당(1일이상)(요양병원 제외) 간병인상해입원일당</t>
        </is>
      </c>
      <c r="E86" s="459" t="inlineStr">
        <is>
          <t>20만</t>
        </is>
      </c>
      <c r="F86" s="459" t="n">
        <v>8</v>
      </c>
      <c r="G86" s="459" t="n">
        <v>200000</v>
      </c>
      <c r="H86" s="459" t="inlineStr">
        <is>
          <t>서상웅 님의 상품별 가입담보상세 2026-05-14 10:32:45 (55세 ,남자) ※ 기준담보/권장금액 : 기본형(37개)/표준형 삼성화재</t>
        </is>
      </c>
      <c r="I86" s="459" t="inlineStr">
        <is>
          <t>2024-12-13</t>
        </is>
      </c>
      <c r="J86" s="459" t="inlineStr">
        <is>
          <t>무배당 삼성화재 간편보험 새로고침100세(2404.3) 4종(해약환급금 미지급형)</t>
        </is>
      </c>
      <c r="K86" s="459" t="inlineStr">
        <is>
          <t>66,071원</t>
        </is>
      </c>
      <c r="L86" s="459" t="n">
        <v>66071</v>
      </c>
      <c r="M86" s="459" t="inlineStr">
        <is>
          <t>상해입원일당</t>
        </is>
      </c>
    </row>
    <row r="87">
      <c r="A87" s="459" t="inlineStr">
        <is>
          <t>6</t>
        </is>
      </c>
      <c r="B87" s="459" t="inlineStr">
        <is>
          <t>정액</t>
        </is>
      </c>
      <c r="C87" s="459" t="inlineStr">
        <is>
          <t>[간편]상해</t>
        </is>
      </c>
      <c r="D87" s="459" t="inlineStr">
        <is>
          <t>입원 간호·간병통합서비스 사용일당(1일이상) 상해 간호·간병통합서비스사용일당</t>
        </is>
      </c>
      <c r="E87" s="459" t="inlineStr">
        <is>
          <t>7만</t>
        </is>
      </c>
      <c r="F87" s="459" t="n">
        <v>8</v>
      </c>
      <c r="G87" s="459" t="n">
        <v>70000</v>
      </c>
      <c r="H87" s="459" t="inlineStr">
        <is>
          <t>서상웅 님의 상품별 가입담보상세 2026-05-14 10:32:45 (55세 ,남자) ※ 기준담보/권장금액 : 기본형(37개)/표준형 삼성화재</t>
        </is>
      </c>
      <c r="I87" s="459" t="inlineStr">
        <is>
          <t>2024-12-13</t>
        </is>
      </c>
      <c r="J87" s="459" t="inlineStr">
        <is>
          <t>무배당 삼성화재 간편보험 새로고침100세(2404.3) 4종(해약환급금 미지급형)</t>
        </is>
      </c>
      <c r="K87" s="459" t="inlineStr">
        <is>
          <t>66,071원</t>
        </is>
      </c>
      <c r="L87" s="459" t="n">
        <v>66071</v>
      </c>
      <c r="M87" s="459" t="inlineStr">
        <is>
          <t>미분류</t>
        </is>
      </c>
    </row>
    <row r="88">
      <c r="A88" s="459" t="inlineStr">
        <is>
          <t>7</t>
        </is>
      </c>
      <c r="B88" s="459" t="inlineStr">
        <is>
          <t>정액</t>
        </is>
      </c>
      <c r="C88" s="459" t="inlineStr">
        <is>
          <t>[간편]상급종합병원 1인실 입원일당(1일이상, 30일한도)(1년50%)</t>
        </is>
      </c>
      <c r="D88" s="459" t="inlineStr">
        <is>
          <t>상급종합병원 질병입원일당</t>
        </is>
      </c>
      <c r="E88" s="459" t="inlineStr">
        <is>
          <t>40만</t>
        </is>
      </c>
      <c r="F88" s="459" t="n">
        <v>8</v>
      </c>
      <c r="G88" s="459" t="n">
        <v>400000</v>
      </c>
      <c r="H88" s="459" t="inlineStr">
        <is>
          <t>서상웅 님의 상품별 가입담보상세 2026-05-14 10:32:45 (55세 ,남자) ※ 기준담보/권장금액 : 기본형(37개)/표준형 삼성화재</t>
        </is>
      </c>
      <c r="I88" s="459" t="inlineStr">
        <is>
          <t>2024-12-13</t>
        </is>
      </c>
      <c r="J88" s="459" t="inlineStr">
        <is>
          <t>무배당 삼성화재 간편보험 새로고침100세(2404.3) 4종(해약환급금 미지급형)</t>
        </is>
      </c>
      <c r="K88" s="459" t="inlineStr">
        <is>
          <t>66,071원</t>
        </is>
      </c>
      <c r="L88" s="459" t="n">
        <v>66071</v>
      </c>
      <c r="M88" s="459" t="inlineStr">
        <is>
          <t>질병입원일당</t>
        </is>
      </c>
    </row>
    <row r="89">
      <c r="A89" s="459" t="inlineStr">
        <is>
          <t>8</t>
        </is>
      </c>
      <c r="B89" s="459" t="inlineStr">
        <is>
          <t>정액</t>
        </is>
      </c>
      <c r="C89" s="459" t="inlineStr">
        <is>
          <t>[간편]상급종합병원 2~3인실 입원일당(1일이상, 30일한도)(1년50%)</t>
        </is>
      </c>
      <c r="D89" s="459" t="inlineStr">
        <is>
          <t>상급종합병원 질병입원일당</t>
        </is>
      </c>
      <c r="E89" s="459" t="inlineStr">
        <is>
          <t>5만</t>
        </is>
      </c>
      <c r="F89" s="459" t="n">
        <v>8</v>
      </c>
      <c r="G89" s="459" t="n">
        <v>50000</v>
      </c>
      <c r="H89" s="459" t="inlineStr">
        <is>
          <t>서상웅 님의 상품별 가입담보상세 2026-05-14 10:32:45 (55세 ,남자) ※ 기준담보/권장금액 : 기본형(37개)/표준형 삼성화재</t>
        </is>
      </c>
      <c r="I89" s="459" t="inlineStr">
        <is>
          <t>2024-12-13</t>
        </is>
      </c>
      <c r="J89" s="459" t="inlineStr">
        <is>
          <t>무배당 삼성화재 간편보험 새로고침100세(2404.3) 4종(해약환급금 미지급형)</t>
        </is>
      </c>
      <c r="K89" s="459" t="inlineStr">
        <is>
          <t>66,071원</t>
        </is>
      </c>
      <c r="L89" s="459" t="n">
        <v>66071</v>
      </c>
      <c r="M89" s="459" t="inlineStr">
        <is>
          <t>질병입원일당</t>
        </is>
      </c>
    </row>
    <row r="90">
      <c r="A90" s="459" t="inlineStr">
        <is>
          <t>9</t>
        </is>
      </c>
      <c r="B90" s="459" t="inlineStr">
        <is>
          <t>정액</t>
        </is>
      </c>
      <c r="C90" s="459" t="inlineStr">
        <is>
          <t>[간편]종합병원 1인실 입원일당(1일이상, 30일한도)(1년50%)</t>
        </is>
      </c>
      <c r="D90" s="459" t="inlineStr">
        <is>
          <t>종합병원이하 질병입원일당</t>
        </is>
      </c>
      <c r="E90" s="459" t="inlineStr">
        <is>
          <t>20만</t>
        </is>
      </c>
      <c r="F90" s="459" t="n">
        <v>8</v>
      </c>
      <c r="G90" s="459" t="n">
        <v>200000</v>
      </c>
      <c r="H90" s="459" t="inlineStr">
        <is>
          <t>서상웅 님의 상품별 가입담보상세 2026-05-14 10:32:45 (55세 ,남자) ※ 기준담보/권장금액 : 기본형(37개)/표준형 삼성화재</t>
        </is>
      </c>
      <c r="I90" s="459" t="inlineStr">
        <is>
          <t>2024-12-13</t>
        </is>
      </c>
      <c r="J90" s="459" t="inlineStr">
        <is>
          <t>무배당 삼성화재 간편보험 새로고침100세(2404.3) 4종(해약환급금 미지급형)</t>
        </is>
      </c>
      <c r="K90" s="459" t="inlineStr">
        <is>
          <t>66,071원</t>
        </is>
      </c>
      <c r="L90" s="459" t="n">
        <v>66071</v>
      </c>
      <c r="M90" s="459" t="inlineStr">
        <is>
          <t>질병입원일당</t>
        </is>
      </c>
    </row>
    <row r="91">
      <c r="A91" s="459" t="inlineStr">
        <is>
          <t>10</t>
        </is>
      </c>
      <c r="B91" s="459" t="inlineStr">
        <is>
          <t>정액</t>
        </is>
      </c>
      <c r="C91" s="459" t="inlineStr">
        <is>
          <t>[간편]종합병원 2~3인실 입원일당(1일이상, 30일한도)(1년50%)</t>
        </is>
      </c>
      <c r="D91" s="459" t="inlineStr">
        <is>
          <t>종합병원이하 질병입원일당</t>
        </is>
      </c>
      <c r="E91" s="459" t="inlineStr">
        <is>
          <t>5만</t>
        </is>
      </c>
      <c r="F91" s="459" t="n">
        <v>8</v>
      </c>
      <c r="G91" s="459" t="n">
        <v>50000</v>
      </c>
      <c r="H91" s="459" t="inlineStr">
        <is>
          <t>서상웅 님의 상품별 가입담보상세 2026-05-14 10:32:45 (55세 ,남자) ※ 기준담보/권장금액 : 기본형(37개)/표준형 삼성화재</t>
        </is>
      </c>
      <c r="I91" s="459" t="inlineStr">
        <is>
          <t>2024-12-13</t>
        </is>
      </c>
      <c r="J91" s="459" t="inlineStr">
        <is>
          <t>무배당 삼성화재 간편보험 새로고침100세(2404.3) 4종(해약환급금 미지급형)</t>
        </is>
      </c>
      <c r="K91" s="459" t="inlineStr">
        <is>
          <t>66,071원</t>
        </is>
      </c>
      <c r="L91" s="459" t="n">
        <v>66071</v>
      </c>
      <c r="M91" s="459" t="inlineStr">
        <is>
          <t>질병입원일당</t>
        </is>
      </c>
    </row>
    <row r="92">
      <c r="A92" s="459" t="inlineStr">
        <is>
          <t>11</t>
        </is>
      </c>
      <c r="B92" s="459" t="inlineStr">
        <is>
          <t>정액</t>
        </is>
      </c>
      <c r="C92" s="459" t="inlineStr">
        <is>
          <t>[간편]상급종합병원 1인실 입원일당(1일이상, 30일한도)(1년50%)</t>
        </is>
      </c>
      <c r="D92" s="459" t="inlineStr">
        <is>
          <t>상급종합병원 상해입원일당</t>
        </is>
      </c>
      <c r="E92" s="459" t="inlineStr">
        <is>
          <t>40만</t>
        </is>
      </c>
      <c r="F92" s="459" t="n">
        <v>8</v>
      </c>
      <c r="G92" s="459" t="n">
        <v>400000</v>
      </c>
      <c r="H92" s="459" t="inlineStr">
        <is>
          <t>서상웅 님의 상품별 가입담보상세 2026-05-14 10:32:45 (55세 ,남자) ※ 기준담보/권장금액 : 기본형(37개)/표준형 삼성화재</t>
        </is>
      </c>
      <c r="I92" s="459" t="inlineStr">
        <is>
          <t>2024-12-13</t>
        </is>
      </c>
      <c r="J92" s="459" t="inlineStr">
        <is>
          <t>무배당 삼성화재 간편보험 새로고침100세(2404.3) 4종(해약환급금 미지급형)</t>
        </is>
      </c>
      <c r="K92" s="459" t="inlineStr">
        <is>
          <t>66,071원</t>
        </is>
      </c>
      <c r="L92" s="459" t="n">
        <v>66071</v>
      </c>
      <c r="M92" s="459" t="inlineStr">
        <is>
          <t>상해입원일당</t>
        </is>
      </c>
    </row>
    <row r="93">
      <c r="A93" s="459" t="inlineStr">
        <is>
          <t>12</t>
        </is>
      </c>
      <c r="B93" s="459" t="inlineStr">
        <is>
          <t>정액</t>
        </is>
      </c>
      <c r="C93" s="459" t="inlineStr">
        <is>
          <t>[간편]상급종합병원 2~3인실 입원일당(1일이상, 30일한도)(1년50%)</t>
        </is>
      </c>
      <c r="D93" s="459" t="inlineStr">
        <is>
          <t>상급종합병원 상해입원일당</t>
        </is>
      </c>
      <c r="E93" s="459" t="inlineStr">
        <is>
          <t>5만</t>
        </is>
      </c>
      <c r="F93" s="459" t="n">
        <v>8</v>
      </c>
      <c r="G93" s="459" t="n">
        <v>50000</v>
      </c>
      <c r="H93" s="459" t="inlineStr">
        <is>
          <t>서상웅 님의 상품별 가입담보상세 2026-05-14 10:32:45 (55세 ,남자) ※ 기준담보/권장금액 : 기본형(37개)/표준형 삼성화재</t>
        </is>
      </c>
      <c r="I93" s="459" t="inlineStr">
        <is>
          <t>2024-12-13</t>
        </is>
      </c>
      <c r="J93" s="459" t="inlineStr">
        <is>
          <t>무배당 삼성화재 간편보험 새로고침100세(2404.3) 4종(해약환급금 미지급형)</t>
        </is>
      </c>
      <c r="K93" s="459" t="inlineStr">
        <is>
          <t>66,071원</t>
        </is>
      </c>
      <c r="L93" s="459" t="n">
        <v>66071</v>
      </c>
      <c r="M93" s="459" t="inlineStr">
        <is>
          <t>상해입원일당</t>
        </is>
      </c>
    </row>
    <row r="94">
      <c r="A94" s="459" t="inlineStr">
        <is>
          <t>13</t>
        </is>
      </c>
      <c r="B94" s="459" t="inlineStr">
        <is>
          <t>정액</t>
        </is>
      </c>
      <c r="C94" s="459" t="inlineStr">
        <is>
          <t>[간편]종합병원 1인실 입원일당(1일이상, 30일한도)(1년50%)</t>
        </is>
      </c>
      <c r="D94" s="459" t="inlineStr">
        <is>
          <t>종합병원이하 상해입원일당</t>
        </is>
      </c>
      <c r="E94" s="459" t="inlineStr">
        <is>
          <t>20만</t>
        </is>
      </c>
      <c r="F94" s="459" t="n">
        <v>8</v>
      </c>
      <c r="G94" s="459" t="n">
        <v>200000</v>
      </c>
      <c r="H94" s="459" t="inlineStr">
        <is>
          <t>서상웅 님의 상품별 가입담보상세 2026-05-14 10:32:45 (55세 ,남자) ※ 기준담보/권장금액 : 기본형(37개)/표준형 삼성화재</t>
        </is>
      </c>
      <c r="I94" s="459" t="inlineStr">
        <is>
          <t>2024-12-13</t>
        </is>
      </c>
      <c r="J94" s="459" t="inlineStr">
        <is>
          <t>무배당 삼성화재 간편보험 새로고침100세(2404.3) 4종(해약환급금 미지급형)</t>
        </is>
      </c>
      <c r="K94" s="459" t="inlineStr">
        <is>
          <t>66,071원</t>
        </is>
      </c>
      <c r="L94" s="459" t="n">
        <v>66071</v>
      </c>
      <c r="M94" s="459" t="inlineStr">
        <is>
          <t>상해입원일당</t>
        </is>
      </c>
    </row>
    <row r="95">
      <c r="A95" s="459" t="inlineStr">
        <is>
          <t>14</t>
        </is>
      </c>
      <c r="B95" s="459" t="inlineStr">
        <is>
          <t>정액</t>
        </is>
      </c>
      <c r="C95" s="459" t="inlineStr">
        <is>
          <t>[간편]종합병원 2~3인실 입원일당(1일이상, 30일한도)(1년50%)</t>
        </is>
      </c>
      <c r="D95" s="459" t="inlineStr">
        <is>
          <t>종합병원이하 상해입원일당</t>
        </is>
      </c>
      <c r="E95" s="459" t="inlineStr">
        <is>
          <t>5만</t>
        </is>
      </c>
      <c r="F95" s="459" t="n">
        <v>8</v>
      </c>
      <c r="G95" s="459" t="n">
        <v>50000</v>
      </c>
      <c r="H95" s="459" t="inlineStr">
        <is>
          <t>서상웅 님의 상품별 가입담보상세 2026-05-14 10:32:45 (55세 ,남자) ※ 기준담보/권장금액 : 기본형(37개)/표준형 삼성화재</t>
        </is>
      </c>
      <c r="I95" s="459" t="inlineStr">
        <is>
          <t>2024-12-13</t>
        </is>
      </c>
      <c r="J95" s="459" t="inlineStr">
        <is>
          <t>무배당 삼성화재 간편보험 새로고침100세(2404.3) 4종(해약환급금 미지급형)</t>
        </is>
      </c>
      <c r="K95" s="459" t="inlineStr">
        <is>
          <t>66,071원</t>
        </is>
      </c>
      <c r="L95" s="459" t="n">
        <v>66071</v>
      </c>
      <c r="M95" s="459" t="inlineStr">
        <is>
          <t>상해입원일당</t>
        </is>
      </c>
    </row>
    <row r="96">
      <c r="A96" s="459" t="inlineStr">
        <is>
          <t>15</t>
        </is>
      </c>
      <c r="B96" s="459" t="inlineStr">
        <is>
          <t>정액</t>
        </is>
      </c>
      <c r="C96" s="459" t="inlineStr">
        <is>
          <t>[간편]상해 입원 간병인 사용일당(181일이상,요양/정신/한방제외)</t>
        </is>
      </c>
      <c r="D96" s="459" t="inlineStr">
        <is>
          <t>기타 인보험(정액)담보</t>
        </is>
      </c>
      <c r="E96" s="459" t="inlineStr">
        <is>
          <t>15만</t>
        </is>
      </c>
      <c r="F96" s="459" t="n">
        <v>8</v>
      </c>
      <c r="G96" s="459" t="n">
        <v>150000</v>
      </c>
      <c r="H96" s="459" t="inlineStr">
        <is>
          <t>서상웅 님의 상품별 가입담보상세 2026-05-14 10:32:45 (55세 ,남자) ※ 기준담보/권장금액 : 기본형(37개)/표준형 삼성화재</t>
        </is>
      </c>
      <c r="I96" s="459" t="inlineStr">
        <is>
          <t>2024-12-13</t>
        </is>
      </c>
      <c r="J96" s="459" t="inlineStr">
        <is>
          <t>무배당 삼성화재 간편보험 새로고침100세(2404.3) 4종(해약환급금 미지급형)</t>
        </is>
      </c>
      <c r="K96" s="459" t="inlineStr">
        <is>
          <t>66,071원</t>
        </is>
      </c>
      <c r="L96" s="459" t="n">
        <v>66071</v>
      </c>
      <c r="M96" s="459" t="inlineStr">
        <is>
          <t>간병인 입원일당</t>
        </is>
      </c>
    </row>
    <row r="97">
      <c r="A97" s="459" t="inlineStr">
        <is>
          <t>16</t>
        </is>
      </c>
      <c r="B97" s="459" t="inlineStr">
        <is>
          <t>정액</t>
        </is>
      </c>
      <c r="C97" s="459" t="inlineStr">
        <is>
          <t>[간편]상해입원간호간병통합서비스사용일당(181일이상,요양/정신/한방제외)</t>
        </is>
      </c>
      <c r="D97" s="459" t="inlineStr">
        <is>
          <t>기타 인보험(정액)담보</t>
        </is>
      </c>
      <c r="E97" s="459" t="inlineStr">
        <is>
          <t>7만</t>
        </is>
      </c>
      <c r="F97" s="459" t="n">
        <v>8</v>
      </c>
      <c r="G97" s="459" t="n">
        <v>70000</v>
      </c>
      <c r="H97" s="459" t="inlineStr">
        <is>
          <t>서상웅 님의 상품별 가입담보상세 2026-05-14 10:32:45 (55세 ,남자) ※ 기준담보/권장금액 : 기본형(37개)/표준형 삼성화재</t>
        </is>
      </c>
      <c r="I97" s="459" t="inlineStr">
        <is>
          <t>2024-12-13</t>
        </is>
      </c>
      <c r="J97" s="459" t="inlineStr">
        <is>
          <t>무배당 삼성화재 간편보험 새로고침100세(2404.3) 4종(해약환급금 미지급형)</t>
        </is>
      </c>
      <c r="K97" s="459" t="inlineStr">
        <is>
          <t>66,071원</t>
        </is>
      </c>
      <c r="L97" s="459" t="n">
        <v>66071</v>
      </c>
      <c r="M97" s="459" t="inlineStr">
        <is>
          <t>미분류</t>
        </is>
      </c>
    </row>
    <row r="98">
      <c r="A98" s="459" t="inlineStr">
        <is>
          <t>17</t>
        </is>
      </c>
      <c r="B98" s="459" t="inlineStr">
        <is>
          <t>정액</t>
        </is>
      </c>
      <c r="C98" s="459" t="inlineStr">
        <is>
          <t>[간편]질병 입원 간병인 사용일당(181일이상,요양/정신/한방제외,1년감액)</t>
        </is>
      </c>
      <c r="D98" s="459" t="inlineStr">
        <is>
          <t>기타 인보험(정액)담보</t>
        </is>
      </c>
      <c r="E98" s="459" t="inlineStr">
        <is>
          <t>15만</t>
        </is>
      </c>
      <c r="F98" s="459" t="n">
        <v>8</v>
      </c>
      <c r="G98" s="459" t="n">
        <v>150000</v>
      </c>
      <c r="H98" s="459" t="inlineStr">
        <is>
          <t>서상웅 님의 상품별 가입담보상세 2026-05-14 10:32:45 (55세 ,남자) ※ 기준담보/권장금액 : 기본형(37개)/표준형 삼성화재</t>
        </is>
      </c>
      <c r="I98" s="459" t="inlineStr">
        <is>
          <t>2024-12-13</t>
        </is>
      </c>
      <c r="J98" s="459" t="inlineStr">
        <is>
          <t>무배당 삼성화재 간편보험 새로고침100세(2404.3) 4종(해약환급금 미지급형)</t>
        </is>
      </c>
      <c r="K98" s="459" t="inlineStr">
        <is>
          <t>66,071원</t>
        </is>
      </c>
      <c r="L98" s="459" t="n">
        <v>66071</v>
      </c>
      <c r="M98" s="459" t="inlineStr">
        <is>
          <t>간병인 입원일당</t>
        </is>
      </c>
    </row>
    <row r="99">
      <c r="A99" s="459" t="inlineStr">
        <is>
          <t>18</t>
        </is>
      </c>
      <c r="B99" s="459" t="inlineStr">
        <is>
          <t>정액</t>
        </is>
      </c>
      <c r="C99" s="459" t="inlineStr">
        <is>
          <t>[간편]질병입원간호간병통합서비스사용일당(181일이상,요양/정신/한방제외,1년감액)</t>
        </is>
      </c>
      <c r="D99" s="459" t="inlineStr">
        <is>
          <t>기타 인보험(정액)담보</t>
        </is>
      </c>
      <c r="E99" s="459" t="inlineStr">
        <is>
          <t>7만</t>
        </is>
      </c>
      <c r="F99" s="459" t="n">
        <v>8</v>
      </c>
      <c r="G99" s="459" t="n">
        <v>70000</v>
      </c>
      <c r="H99" s="459" t="inlineStr">
        <is>
          <t>서상웅 님의 상품별 가입담보상세 2026-05-14 10:32:45 (55세 ,남자) ※ 기준담보/권장금액 : 기본형(37개)/표준형 삼성화재</t>
        </is>
      </c>
      <c r="I99" s="459" t="inlineStr">
        <is>
          <t>2024-12-13</t>
        </is>
      </c>
      <c r="J99" s="459" t="inlineStr">
        <is>
          <t>무배당 삼성화재 간편보험 새로고침100세(2404.3) 4종(해약환급금 미지급형)</t>
        </is>
      </c>
      <c r="K99" s="459" t="inlineStr">
        <is>
          <t>66,071원</t>
        </is>
      </c>
      <c r="L99" s="459" t="n">
        <v>66071</v>
      </c>
      <c r="M99" s="459" t="inlineStr">
        <is>
          <t>미분류</t>
        </is>
      </c>
    </row>
    <row r="100">
      <c r="A100" s="459" t="inlineStr">
        <is>
          <t>1</t>
        </is>
      </c>
      <c r="B100" s="459" t="inlineStr">
        <is>
          <t>정액</t>
        </is>
      </c>
      <c r="C100" s="459" t="inlineStr">
        <is>
          <t>일반상해사망</t>
        </is>
      </c>
      <c r="D100" s="459" t="inlineStr">
        <is>
          <t>상해사망</t>
        </is>
      </c>
      <c r="E100" s="459" t="inlineStr">
        <is>
          <t>5,000만</t>
        </is>
      </c>
      <c r="F100" s="459" t="n">
        <v>9</v>
      </c>
      <c r="G100" s="459" t="n">
        <v>50000000</v>
      </c>
      <c r="H100" s="459" t="inlineStr">
        <is>
          <t>서상웅 님의 상품별 가입담보상세 2026-05-14 10:32:45 (55세 ,남자) ※ 기준담보/권장금액 : 기본형(37개)/표준형 하나손보</t>
        </is>
      </c>
      <c r="I100" s="459" t="inlineStr">
        <is>
          <t>2023-11-23</t>
        </is>
      </c>
      <c r="J100" s="459" t="inlineStr">
        <is>
          <t>무배당 하나 가득담은 운전자보험(2309)</t>
        </is>
      </c>
      <c r="K100" s="459" t="inlineStr">
        <is>
          <t>33,618원</t>
        </is>
      </c>
      <c r="L100" s="459" t="n">
        <v>33618</v>
      </c>
      <c r="M100" s="459" t="inlineStr">
        <is>
          <t>상해사망</t>
        </is>
      </c>
    </row>
    <row r="101">
      <c r="A101" s="459" t="inlineStr">
        <is>
          <t>2</t>
        </is>
      </c>
      <c r="B101" s="459" t="inlineStr">
        <is>
          <t>정액</t>
        </is>
      </c>
      <c r="C101" s="459" t="inlineStr">
        <is>
          <t>일반상해후유장해(3~100%)</t>
        </is>
      </c>
      <c r="D101" s="459" t="inlineStr">
        <is>
          <t>상해후유장해</t>
        </is>
      </c>
      <c r="E101" s="459" t="inlineStr">
        <is>
          <t>1억</t>
        </is>
      </c>
      <c r="F101" s="459" t="n">
        <v>9</v>
      </c>
      <c r="G101" s="459" t="n">
        <v>100000000</v>
      </c>
      <c r="H101" s="459" t="inlineStr">
        <is>
          <t>서상웅 님의 상품별 가입담보상세 2026-05-14 10:32:45 (55세 ,남자) ※ 기준담보/권장금액 : 기본형(37개)/표준형 하나손보</t>
        </is>
      </c>
      <c r="I101" s="459" t="inlineStr">
        <is>
          <t>2023-11-23</t>
        </is>
      </c>
      <c r="J101" s="459" t="inlineStr">
        <is>
          <t>무배당 하나 가득담은 운전자보험(2309)</t>
        </is>
      </c>
      <c r="K101" s="459" t="inlineStr">
        <is>
          <t>33,618원</t>
        </is>
      </c>
      <c r="L101" s="459" t="n">
        <v>33618</v>
      </c>
      <c r="M101" s="459" t="inlineStr">
        <is>
          <t>후유장해</t>
        </is>
      </c>
    </row>
    <row r="102">
      <c r="A102" s="459" t="inlineStr">
        <is>
          <t>3</t>
        </is>
      </c>
      <c r="B102" s="459" t="inlineStr">
        <is>
          <t>정액</t>
        </is>
      </c>
      <c r="C102" s="459" t="inlineStr">
        <is>
          <t>교통상해50%이상후유장해생활지원금(10년,월지급형)</t>
        </is>
      </c>
      <c r="D102" s="459" t="inlineStr">
        <is>
          <t>교통상해50%이상후유장해</t>
        </is>
      </c>
      <c r="E102" s="459" t="inlineStr">
        <is>
          <t>6,000만</t>
        </is>
      </c>
      <c r="F102" s="459" t="n">
        <v>9</v>
      </c>
      <c r="G102" s="459" t="n">
        <v>60000000</v>
      </c>
      <c r="H102" s="459" t="inlineStr">
        <is>
          <t>서상웅 님의 상품별 가입담보상세 2026-05-14 10:32:45 (55세 ,남자) ※ 기준담보/권장금액 : 기본형(37개)/표준형 하나손보</t>
        </is>
      </c>
      <c r="I102" s="459" t="inlineStr">
        <is>
          <t>2023-11-23</t>
        </is>
      </c>
      <c r="J102" s="459" t="inlineStr">
        <is>
          <t>무배당 하나 가득담은 운전자보험(2309)</t>
        </is>
      </c>
      <c r="K102" s="459" t="inlineStr">
        <is>
          <t>33,618원</t>
        </is>
      </c>
      <c r="L102" s="459" t="n">
        <v>33618</v>
      </c>
      <c r="M102" s="459" t="inlineStr">
        <is>
          <t>후유장해</t>
        </is>
      </c>
    </row>
    <row r="103">
      <c r="A103" s="459" t="inlineStr">
        <is>
          <t>4</t>
        </is>
      </c>
      <c r="B103" s="459" t="inlineStr">
        <is>
          <t>정액</t>
        </is>
      </c>
      <c r="C103" s="459" t="inlineStr">
        <is>
          <t>골절진단비(치아파절제외)</t>
        </is>
      </c>
      <c r="D103" s="459" t="inlineStr">
        <is>
          <t>골절진단</t>
        </is>
      </c>
      <c r="E103" s="459" t="inlineStr">
        <is>
          <t>20만</t>
        </is>
      </c>
      <c r="F103" s="459" t="n">
        <v>9</v>
      </c>
      <c r="G103" s="459" t="n">
        <v>200000</v>
      </c>
      <c r="H103" s="459" t="inlineStr">
        <is>
          <t>서상웅 님의 상품별 가입담보상세 2026-05-14 10:32:45 (55세 ,남자) ※ 기준담보/권장금액 : 기본형(37개)/표준형 하나손보</t>
        </is>
      </c>
      <c r="I103" s="459" t="inlineStr">
        <is>
          <t>2023-11-23</t>
        </is>
      </c>
      <c r="J103" s="459" t="inlineStr">
        <is>
          <t>무배당 하나 가득담은 운전자보험(2309)</t>
        </is>
      </c>
      <c r="K103" s="459" t="inlineStr">
        <is>
          <t>33,618원</t>
        </is>
      </c>
      <c r="L103" s="459" t="n">
        <v>33618</v>
      </c>
      <c r="M103" s="459" t="inlineStr">
        <is>
          <t>골절/화상</t>
        </is>
      </c>
    </row>
    <row r="104">
      <c r="A104" s="459" t="inlineStr">
        <is>
          <t>5</t>
        </is>
      </c>
      <c r="B104" s="459" t="inlineStr">
        <is>
          <t>정액</t>
        </is>
      </c>
      <c r="C104" s="459" t="inlineStr">
        <is>
          <t>골절진단비(치아파절포함)</t>
        </is>
      </c>
      <c r="D104" s="459" t="inlineStr">
        <is>
          <t>골절진단</t>
        </is>
      </c>
      <c r="E104" s="459" t="inlineStr">
        <is>
          <t>30만</t>
        </is>
      </c>
      <c r="F104" s="459" t="n">
        <v>9</v>
      </c>
      <c r="G104" s="459" t="n">
        <v>300000</v>
      </c>
      <c r="H104" s="459" t="inlineStr">
        <is>
          <t>서상웅 님의 상품별 가입담보상세 2026-05-14 10:32:45 (55세 ,남자) ※ 기준담보/권장금액 : 기본형(37개)/표준형 하나손보</t>
        </is>
      </c>
      <c r="I104" s="459" t="inlineStr">
        <is>
          <t>2023-11-23</t>
        </is>
      </c>
      <c r="J104" s="459" t="inlineStr">
        <is>
          <t>무배당 하나 가득담은 운전자보험(2309)</t>
        </is>
      </c>
      <c r="K104" s="459" t="inlineStr">
        <is>
          <t>33,618원</t>
        </is>
      </c>
      <c r="L104" s="459" t="n">
        <v>33618</v>
      </c>
      <c r="M104" s="459" t="inlineStr">
        <is>
          <t>골절/화상</t>
        </is>
      </c>
    </row>
    <row r="105">
      <c r="A105" s="459" t="inlineStr">
        <is>
          <t>6</t>
        </is>
      </c>
      <c r="B105" s="459" t="inlineStr">
        <is>
          <t>정액</t>
        </is>
      </c>
      <c r="C105" s="459" t="inlineStr">
        <is>
          <t>화상진단비</t>
        </is>
      </c>
      <c r="D105" s="459" t="inlineStr">
        <is>
          <t>화상진단</t>
        </is>
      </c>
      <c r="E105" s="459" t="inlineStr">
        <is>
          <t>30만</t>
        </is>
      </c>
      <c r="F105" s="459" t="n">
        <v>9</v>
      </c>
      <c r="G105" s="459" t="n">
        <v>300000</v>
      </c>
      <c r="H105" s="459" t="inlineStr">
        <is>
          <t>서상웅 님의 상품별 가입담보상세 2026-05-14 10:32:45 (55세 ,남자) ※ 기준담보/권장금액 : 기본형(37개)/표준형 하나손보</t>
        </is>
      </c>
      <c r="I105" s="459" t="inlineStr">
        <is>
          <t>2023-11-23</t>
        </is>
      </c>
      <c r="J105" s="459" t="inlineStr">
        <is>
          <t>무배당 하나 가득담은 운전자보험(2309)</t>
        </is>
      </c>
      <c r="K105" s="459" t="inlineStr">
        <is>
          <t>33,618원</t>
        </is>
      </c>
      <c r="L105" s="459" t="n">
        <v>33618</v>
      </c>
      <c r="M105" s="459" t="inlineStr">
        <is>
          <t>골절/화상</t>
        </is>
      </c>
    </row>
    <row r="106">
      <c r="A106" s="459" t="inlineStr">
        <is>
          <t>7</t>
        </is>
      </c>
      <c r="B106" s="459" t="inlineStr">
        <is>
          <t>정액</t>
        </is>
      </c>
      <c r="C106" s="459" t="inlineStr">
        <is>
          <t>5대골절진단비</t>
        </is>
      </c>
      <c r="D106" s="459" t="inlineStr">
        <is>
          <t>중대골절진단</t>
        </is>
      </c>
      <c r="E106" s="459" t="inlineStr">
        <is>
          <t>200만</t>
        </is>
      </c>
      <c r="F106" s="459" t="n">
        <v>9</v>
      </c>
      <c r="G106" s="459" t="n">
        <v>2000000</v>
      </c>
      <c r="H106" s="459" t="inlineStr">
        <is>
          <t>서상웅 님의 상품별 가입담보상세 2026-05-14 10:32:45 (55세 ,남자) ※ 기준담보/권장금액 : 기본형(37개)/표준형 하나손보</t>
        </is>
      </c>
      <c r="I106" s="459" t="inlineStr">
        <is>
          <t>2023-11-23</t>
        </is>
      </c>
      <c r="J106" s="459" t="inlineStr">
        <is>
          <t>무배당 하나 가득담은 운전자보험(2309)</t>
        </is>
      </c>
      <c r="K106" s="459" t="inlineStr">
        <is>
          <t>33,618원</t>
        </is>
      </c>
      <c r="L106" s="459" t="n">
        <v>33618</v>
      </c>
      <c r="M106" s="459" t="inlineStr">
        <is>
          <t>골절/화상</t>
        </is>
      </c>
    </row>
    <row r="107">
      <c r="A107" s="459" t="inlineStr">
        <is>
          <t>8</t>
        </is>
      </c>
      <c r="B107" s="459" t="inlineStr">
        <is>
          <t>정액</t>
        </is>
      </c>
      <c r="C107" s="459" t="inlineStr">
        <is>
          <t>상해수술비</t>
        </is>
      </c>
      <c r="D107" s="459" t="inlineStr">
        <is>
          <t>상해수술</t>
        </is>
      </c>
      <c r="E107" s="459" t="inlineStr">
        <is>
          <t>150만</t>
        </is>
      </c>
      <c r="F107" s="459" t="n">
        <v>9</v>
      </c>
      <c r="G107" s="459" t="n">
        <v>1500000</v>
      </c>
      <c r="H107" s="459" t="inlineStr">
        <is>
          <t>서상웅 님의 상품별 가입담보상세 2026-05-14 10:32:45 (55세 ,남자) ※ 기준담보/권장금액 : 기본형(37개)/표준형 하나손보</t>
        </is>
      </c>
      <c r="I107" s="459" t="inlineStr">
        <is>
          <t>2023-11-23</t>
        </is>
      </c>
      <c r="J107" s="459" t="inlineStr">
        <is>
          <t>무배당 하나 가득담은 운전자보험(2309)</t>
        </is>
      </c>
      <c r="K107" s="459" t="inlineStr">
        <is>
          <t>33,618원</t>
        </is>
      </c>
      <c r="L107" s="459" t="n">
        <v>33618</v>
      </c>
      <c r="M107" s="459" t="inlineStr">
        <is>
          <t>상해수술비</t>
        </is>
      </c>
    </row>
    <row r="108">
      <c r="A108" s="459" t="inlineStr">
        <is>
          <t>9</t>
        </is>
      </c>
      <c r="B108" s="459" t="inlineStr">
        <is>
          <t>정액</t>
        </is>
      </c>
      <c r="C108" s="459" t="inlineStr">
        <is>
          <t>골절수술비</t>
        </is>
      </c>
      <c r="D108" s="459" t="inlineStr">
        <is>
          <t>골절수술</t>
        </is>
      </c>
      <c r="E108" s="459" t="inlineStr">
        <is>
          <t>30만</t>
        </is>
      </c>
      <c r="F108" s="459" t="n">
        <v>9</v>
      </c>
      <c r="G108" s="459" t="n">
        <v>300000</v>
      </c>
      <c r="H108" s="459" t="inlineStr">
        <is>
          <t>서상웅 님의 상품별 가입담보상세 2026-05-14 10:32:45 (55세 ,남자) ※ 기준담보/권장금액 : 기본형(37개)/표준형 하나손보</t>
        </is>
      </c>
      <c r="I108" s="459" t="inlineStr">
        <is>
          <t>2023-11-23</t>
        </is>
      </c>
      <c r="J108" s="459" t="inlineStr">
        <is>
          <t>무배당 하나 가득담은 운전자보험(2309)</t>
        </is>
      </c>
      <c r="K108" s="459" t="inlineStr">
        <is>
          <t>33,618원</t>
        </is>
      </c>
      <c r="L108" s="459" t="n">
        <v>33618</v>
      </c>
      <c r="M108" s="459" t="inlineStr">
        <is>
          <t>골절/화상</t>
        </is>
      </c>
    </row>
    <row r="109">
      <c r="A109" s="459" t="inlineStr">
        <is>
          <t>10</t>
        </is>
      </c>
      <c r="B109" s="459" t="inlineStr">
        <is>
          <t>정액</t>
        </is>
      </c>
      <c r="C109" s="459" t="inlineStr">
        <is>
          <t>화상수술비</t>
        </is>
      </c>
      <c r="D109" s="459" t="inlineStr">
        <is>
          <t>화상수술</t>
        </is>
      </c>
      <c r="E109" s="459" t="inlineStr">
        <is>
          <t>30만</t>
        </is>
      </c>
      <c r="F109" s="459" t="n">
        <v>9</v>
      </c>
      <c r="G109" s="459" t="n">
        <v>300000</v>
      </c>
      <c r="H109" s="459" t="inlineStr">
        <is>
          <t>서상웅 님의 상품별 가입담보상세 2026-05-14 10:32:45 (55세 ,남자) ※ 기준담보/권장금액 : 기본형(37개)/표준형 하나손보</t>
        </is>
      </c>
      <c r="I109" s="459" t="inlineStr">
        <is>
          <t>2023-11-23</t>
        </is>
      </c>
      <c r="J109" s="459" t="inlineStr">
        <is>
          <t>무배당 하나 가득담은 운전자보험(2309)</t>
        </is>
      </c>
      <c r="K109" s="459" t="inlineStr">
        <is>
          <t>33,618원</t>
        </is>
      </c>
      <c r="L109" s="459" t="n">
        <v>33618</v>
      </c>
      <c r="M109" s="459" t="inlineStr">
        <is>
          <t>골절/화상</t>
        </is>
      </c>
    </row>
    <row r="110">
      <c r="A110" s="459" t="inlineStr">
        <is>
          <t>11</t>
        </is>
      </c>
      <c r="B110" s="459" t="inlineStr">
        <is>
          <t>정액</t>
        </is>
      </c>
      <c r="C110" s="459" t="inlineStr">
        <is>
          <t>상해수술비(1~8종,연간1회한)(8종)</t>
        </is>
      </c>
      <c r="D110" s="459" t="inlineStr">
        <is>
          <t>상해종수술</t>
        </is>
      </c>
      <c r="E110" s="459" t="inlineStr">
        <is>
          <t>2,000만</t>
        </is>
      </c>
      <c r="F110" s="459" t="n">
        <v>9</v>
      </c>
      <c r="G110" s="459" t="n">
        <v>20000000</v>
      </c>
      <c r="H110" s="459" t="inlineStr">
        <is>
          <t>서상웅 님의 상품별 가입담보상세 2026-05-14 10:32:45 (55세 ,남자) ※ 기준담보/권장금액 : 기본형(37개)/표준형 하나손보</t>
        </is>
      </c>
      <c r="I110" s="459" t="inlineStr">
        <is>
          <t>2023-11-23</t>
        </is>
      </c>
      <c r="J110" s="459" t="inlineStr">
        <is>
          <t>무배당 하나 가득담은 운전자보험(2309)</t>
        </is>
      </c>
      <c r="K110" s="459" t="inlineStr">
        <is>
          <t>33,618원</t>
        </is>
      </c>
      <c r="L110" s="459" t="n">
        <v>33618</v>
      </c>
      <c r="M110" s="459" t="inlineStr">
        <is>
          <t>상해수술비</t>
        </is>
      </c>
    </row>
    <row r="111">
      <c r="A111" s="459" t="inlineStr">
        <is>
          <t>12</t>
        </is>
      </c>
      <c r="B111" s="459" t="inlineStr">
        <is>
          <t>정액</t>
        </is>
      </c>
      <c r="C111" s="459" t="inlineStr">
        <is>
          <t>5대골절수술비</t>
        </is>
      </c>
      <c r="D111" s="459" t="inlineStr">
        <is>
          <t>특정상해수술</t>
        </is>
      </c>
      <c r="E111" s="459" t="inlineStr">
        <is>
          <t>200만</t>
        </is>
      </c>
      <c r="F111" s="459" t="n">
        <v>9</v>
      </c>
      <c r="G111" s="459" t="n">
        <v>2000000</v>
      </c>
      <c r="H111" s="459" t="inlineStr">
        <is>
          <t>서상웅 님의 상품별 가입담보상세 2026-05-14 10:32:45 (55세 ,남자) ※ 기준담보/권장금액 : 기본형(37개)/표준형 하나손보</t>
        </is>
      </c>
      <c r="I111" s="459" t="inlineStr">
        <is>
          <t>2023-11-23</t>
        </is>
      </c>
      <c r="J111" s="459" t="inlineStr">
        <is>
          <t>무배당 하나 가득담은 운전자보험(2309)</t>
        </is>
      </c>
      <c r="K111" s="459" t="inlineStr">
        <is>
          <t>33,618원</t>
        </is>
      </c>
      <c r="L111" s="459" t="n">
        <v>33618</v>
      </c>
      <c r="M111" s="459" t="inlineStr">
        <is>
          <t>상해수술비</t>
        </is>
      </c>
    </row>
    <row r="112">
      <c r="A112" s="459" t="inlineStr">
        <is>
          <t>13</t>
        </is>
      </c>
      <c r="B112" s="459" t="inlineStr">
        <is>
          <t>정액</t>
        </is>
      </c>
      <c r="C112" s="459" t="inlineStr">
        <is>
          <t>일반상해중환자실입원일당(1일이상180일한도)</t>
        </is>
      </c>
      <c r="D112" s="459" t="inlineStr">
        <is>
          <t>상해중환자실입원일당</t>
        </is>
      </c>
      <c r="E112" s="459" t="inlineStr">
        <is>
          <t>20만</t>
        </is>
      </c>
      <c r="F112" s="459" t="n">
        <v>9</v>
      </c>
      <c r="G112" s="459" t="n">
        <v>200000</v>
      </c>
      <c r="H112" s="459" t="inlineStr">
        <is>
          <t>서상웅 님의 상품별 가입담보상세 2026-05-14 10:32:45 (55세 ,남자) ※ 기준담보/권장금액 : 기본형(37개)/표준형 하나손보</t>
        </is>
      </c>
      <c r="I112" s="459" t="inlineStr">
        <is>
          <t>2023-11-23</t>
        </is>
      </c>
      <c r="J112" s="459" t="inlineStr">
        <is>
          <t>무배당 하나 가득담은 운전자보험(2309)</t>
        </is>
      </c>
      <c r="K112" s="459" t="inlineStr">
        <is>
          <t>33,618원</t>
        </is>
      </c>
      <c r="L112" s="459" t="n">
        <v>33618</v>
      </c>
      <c r="M112" s="459" t="inlineStr">
        <is>
          <t>미분류</t>
        </is>
      </c>
    </row>
    <row r="113">
      <c r="A113" s="459" t="inlineStr">
        <is>
          <t>14</t>
        </is>
      </c>
      <c r="B113" s="459" t="inlineStr">
        <is>
          <t>정액</t>
        </is>
      </c>
      <c r="C113" s="459" t="inlineStr">
        <is>
          <t>교통상해입원일당(1일이상180일한도)</t>
        </is>
      </c>
      <c r="D113" s="459" t="inlineStr">
        <is>
          <t>교통상해입원일당</t>
        </is>
      </c>
      <c r="E113" s="459" t="inlineStr">
        <is>
          <t>3만</t>
        </is>
      </c>
      <c r="F113" s="459" t="n">
        <v>9</v>
      </c>
      <c r="G113" s="459" t="n">
        <v>30000</v>
      </c>
      <c r="H113" s="459" t="inlineStr">
        <is>
          <t>서상웅 님의 상품별 가입담보상세 2026-05-14 10:32:45 (55세 ,남자) ※ 기준담보/권장금액 : 기본형(37개)/표준형 하나손보</t>
        </is>
      </c>
      <c r="I113" s="459" t="inlineStr">
        <is>
          <t>2023-11-23</t>
        </is>
      </c>
      <c r="J113" s="459" t="inlineStr">
        <is>
          <t>무배당 하나 가득담은 운전자보험(2309)</t>
        </is>
      </c>
      <c r="K113" s="459" t="inlineStr">
        <is>
          <t>33,618원</t>
        </is>
      </c>
      <c r="L113" s="459" t="n">
        <v>33618</v>
      </c>
      <c r="M113" s="459" t="inlineStr">
        <is>
          <t>상해입원일당</t>
        </is>
      </c>
    </row>
    <row r="114">
      <c r="A114" s="459" t="inlineStr">
        <is>
          <t>15</t>
        </is>
      </c>
      <c r="B114" s="459" t="inlineStr">
        <is>
          <t>정액</t>
        </is>
      </c>
      <c r="C114" s="459" t="inlineStr">
        <is>
          <t>신주말교통상해입원일당(1일이상180일한도)</t>
        </is>
      </c>
      <c r="D114" s="459" t="inlineStr">
        <is>
          <t>교통상해입원일당</t>
        </is>
      </c>
      <c r="E114" s="459" t="inlineStr">
        <is>
          <t>1만</t>
        </is>
      </c>
      <c r="F114" s="459" t="n">
        <v>9</v>
      </c>
      <c r="G114" s="459" t="n">
        <v>10000</v>
      </c>
      <c r="H114" s="459" t="inlineStr">
        <is>
          <t>서상웅 님의 상품별 가입담보상세 2026-05-14 10:32:45 (55세 ,남자) ※ 기준담보/권장금액 : 기본형(37개)/표준형 하나손보</t>
        </is>
      </c>
      <c r="I114" s="459" t="inlineStr">
        <is>
          <t>2023-11-23</t>
        </is>
      </c>
      <c r="J114" s="459" t="inlineStr">
        <is>
          <t>무배당 하나 가득담은 운전자보험(2309)</t>
        </is>
      </c>
      <c r="K114" s="459" t="inlineStr">
        <is>
          <t>33,618원</t>
        </is>
      </c>
      <c r="L114" s="459" t="n">
        <v>33618</v>
      </c>
      <c r="M114" s="459" t="inlineStr">
        <is>
          <t>상해입원일당</t>
        </is>
      </c>
    </row>
    <row r="115">
      <c r="A115" s="459" t="inlineStr">
        <is>
          <t>16</t>
        </is>
      </c>
      <c r="B115" s="459" t="inlineStr">
        <is>
          <t>정액</t>
        </is>
      </c>
      <c r="C115" s="459" t="inlineStr">
        <is>
          <t>일반상해상급종합병원입원일당(1일이상180일한도)</t>
        </is>
      </c>
      <c r="D115" s="459" t="inlineStr">
        <is>
          <t>상급종합병원 상해입원일당</t>
        </is>
      </c>
      <c r="E115" s="459" t="inlineStr">
        <is>
          <t>5만</t>
        </is>
      </c>
      <c r="F115" s="459" t="n">
        <v>9</v>
      </c>
      <c r="G115" s="459" t="n">
        <v>50000</v>
      </c>
      <c r="H115" s="459" t="inlineStr">
        <is>
          <t>서상웅 님의 상품별 가입담보상세 2026-05-14 10:32:45 (55세 ,남자) ※ 기준담보/권장금액 : 기본형(37개)/표준형 하나손보</t>
        </is>
      </c>
      <c r="I115" s="459" t="inlineStr">
        <is>
          <t>2023-11-23</t>
        </is>
      </c>
      <c r="J115" s="459" t="inlineStr">
        <is>
          <t>무배당 하나 가득담은 운전자보험(2309)</t>
        </is>
      </c>
      <c r="K115" s="459" t="inlineStr">
        <is>
          <t>33,618원</t>
        </is>
      </c>
      <c r="L115" s="459" t="n">
        <v>33618</v>
      </c>
      <c r="M115" s="459" t="inlineStr">
        <is>
          <t>상해입원일당</t>
        </is>
      </c>
    </row>
    <row r="116">
      <c r="A116" s="459" t="inlineStr">
        <is>
          <t>17</t>
        </is>
      </c>
      <c r="B116" s="459" t="inlineStr">
        <is>
          <t>정액</t>
        </is>
      </c>
      <c r="C116" s="459" t="inlineStr">
        <is>
          <t>일반상해수술입원일당(1일이상10일한도)</t>
        </is>
      </c>
      <c r="D116" s="459" t="inlineStr">
        <is>
          <t>기타입원일당</t>
        </is>
      </c>
      <c r="E116" s="459" t="inlineStr">
        <is>
          <t>3만</t>
        </is>
      </c>
      <c r="F116" s="459" t="n">
        <v>9</v>
      </c>
      <c r="G116" s="459" t="n">
        <v>30000</v>
      </c>
      <c r="H116" s="459" t="inlineStr">
        <is>
          <t>서상웅 님의 상품별 가입담보상세 2026-05-14 10:32:45 (55세 ,남자) ※ 기준담보/권장금액 : 기본형(37개)/표준형 하나손보</t>
        </is>
      </c>
      <c r="I116" s="459" t="inlineStr">
        <is>
          <t>2023-11-23</t>
        </is>
      </c>
      <c r="J116" s="459" t="inlineStr">
        <is>
          <t>무배당 하나 가득담은 운전자보험(2309)</t>
        </is>
      </c>
      <c r="K116" s="459" t="inlineStr">
        <is>
          <t>33,618원</t>
        </is>
      </c>
      <c r="L116" s="459" t="n">
        <v>33618</v>
      </c>
      <c r="M116" s="459" t="inlineStr">
        <is>
          <t>상해수술비</t>
        </is>
      </c>
    </row>
    <row r="117">
      <c r="A117" s="459" t="inlineStr">
        <is>
          <t>18</t>
        </is>
      </c>
      <c r="B117" s="459" t="inlineStr">
        <is>
          <t>정액</t>
        </is>
      </c>
      <c r="C117" s="459" t="inlineStr">
        <is>
          <t>자동차사고부상치료비I</t>
        </is>
      </c>
      <c r="D117" s="459" t="inlineStr">
        <is>
          <t>자동차사고부상위로금</t>
        </is>
      </c>
      <c r="E117" s="459" t="inlineStr">
        <is>
          <t>30만</t>
        </is>
      </c>
      <c r="F117" s="459" t="n">
        <v>9</v>
      </c>
      <c r="G117" s="459" t="n">
        <v>300000</v>
      </c>
      <c r="H117" s="459" t="inlineStr">
        <is>
          <t>서상웅 님의 상품별 가입담보상세 2026-05-14 10:32:45 (55세 ,남자) ※ 기준담보/권장금액 : 기본형(37개)/표준형 하나손보</t>
        </is>
      </c>
      <c r="I117" s="459" t="inlineStr">
        <is>
          <t>2023-11-23</t>
        </is>
      </c>
      <c r="J117" s="459" t="inlineStr">
        <is>
          <t>무배당 하나 가득담은 운전자보험(2309)</t>
        </is>
      </c>
      <c r="K117" s="459" t="inlineStr">
        <is>
          <t>33,618원</t>
        </is>
      </c>
      <c r="L117" s="459" t="n">
        <v>33618</v>
      </c>
      <c r="M117" s="459" t="inlineStr">
        <is>
          <t>운전자 담보</t>
        </is>
      </c>
    </row>
    <row r="118">
      <c r="A118" s="459" t="inlineStr">
        <is>
          <t>19</t>
        </is>
      </c>
      <c r="B118" s="459" t="inlineStr">
        <is>
          <t>정액</t>
        </is>
      </c>
      <c r="C118" s="459" t="inlineStr">
        <is>
          <t>깁스치료비</t>
        </is>
      </c>
      <c r="D118" s="459" t="inlineStr">
        <is>
          <t>깁스치료</t>
        </is>
      </c>
      <c r="E118" s="459" t="inlineStr">
        <is>
          <t>20만</t>
        </is>
      </c>
      <c r="F118" s="459" t="n">
        <v>9</v>
      </c>
      <c r="G118" s="459" t="n">
        <v>200000</v>
      </c>
      <c r="H118" s="459" t="inlineStr">
        <is>
          <t>서상웅 님의 상품별 가입담보상세 2026-05-14 10:32:45 (55세 ,남자) ※ 기준담보/권장금액 : 기본형(37개)/표준형 하나손보</t>
        </is>
      </c>
      <c r="I118" s="459" t="inlineStr">
        <is>
          <t>2023-11-23</t>
        </is>
      </c>
      <c r="J118" s="459" t="inlineStr">
        <is>
          <t>무배당 하나 가득담은 운전자보험(2309)</t>
        </is>
      </c>
      <c r="K118" s="459" t="inlineStr">
        <is>
          <t>33,618원</t>
        </is>
      </c>
      <c r="L118" s="459" t="n">
        <v>33618</v>
      </c>
      <c r="M118" s="459" t="inlineStr">
        <is>
          <t>미분류</t>
        </is>
      </c>
    </row>
    <row r="119">
      <c r="A119" s="459" t="inlineStr">
        <is>
          <t>20</t>
        </is>
      </c>
      <c r="B119" s="459" t="inlineStr">
        <is>
          <t>정액</t>
        </is>
      </c>
      <c r="C119" s="459" t="inlineStr">
        <is>
          <t>자동차사고부상치료비(1~11급)</t>
        </is>
      </c>
      <c r="D119" s="459" t="inlineStr">
        <is>
          <t>기타 인보험(정액)담보</t>
        </is>
      </c>
      <c r="E119" s="459" t="inlineStr">
        <is>
          <t>500만</t>
        </is>
      </c>
      <c r="F119" s="459" t="n">
        <v>9</v>
      </c>
      <c r="G119" s="459" t="n">
        <v>5000000</v>
      </c>
      <c r="H119" s="459" t="inlineStr">
        <is>
          <t>서상웅 님의 상품별 가입담보상세 2026-05-14 10:32:45 (55세 ,남자) ※ 기준담보/권장금액 : 기본형(37개)/표준형 하나손보</t>
        </is>
      </c>
      <c r="I119" s="459" t="inlineStr">
        <is>
          <t>2023-11-23</t>
        </is>
      </c>
      <c r="J119" s="459" t="inlineStr">
        <is>
          <t>무배당 하나 가득담은 운전자보험(2309)</t>
        </is>
      </c>
      <c r="K119" s="459" t="inlineStr">
        <is>
          <t>33,618원</t>
        </is>
      </c>
      <c r="L119" s="459" t="n">
        <v>33618</v>
      </c>
      <c r="M119" s="459" t="inlineStr">
        <is>
          <t>운전자 담보</t>
        </is>
      </c>
    </row>
    <row r="120">
      <c r="A120" s="459" t="inlineStr">
        <is>
          <t>21</t>
        </is>
      </c>
      <c r="B120" s="459" t="inlineStr">
        <is>
          <t>정액</t>
        </is>
      </c>
      <c r="C120" s="459" t="inlineStr">
        <is>
          <t>자동차사고부상치료비(1~7급)</t>
        </is>
      </c>
      <c r="D120" s="459" t="inlineStr">
        <is>
          <t>기타 인보험(정액)담보</t>
        </is>
      </c>
      <c r="E120" s="459" t="inlineStr">
        <is>
          <t>500만</t>
        </is>
      </c>
      <c r="F120" s="459" t="n">
        <v>9</v>
      </c>
      <c r="G120" s="459" t="n">
        <v>5000000</v>
      </c>
      <c r="H120" s="459" t="inlineStr">
        <is>
          <t>서상웅 님의 상품별 가입담보상세 2026-05-14 10:32:45 (55세 ,남자) ※ 기준담보/권장금액 : 기본형(37개)/표준형 하나손보</t>
        </is>
      </c>
      <c r="I120" s="459" t="inlineStr">
        <is>
          <t>2023-11-23</t>
        </is>
      </c>
      <c r="J120" s="459" t="inlineStr">
        <is>
          <t>무배당 하나 가득담은 운전자보험(2309)</t>
        </is>
      </c>
      <c r="K120" s="459" t="inlineStr">
        <is>
          <t>33,618원</t>
        </is>
      </c>
      <c r="L120" s="459" t="n">
        <v>33618</v>
      </c>
      <c r="M120" s="459" t="inlineStr">
        <is>
          <t>운전자 담보</t>
        </is>
      </c>
    </row>
    <row r="121">
      <c r="A121" s="459" t="inlineStr">
        <is>
          <t>22</t>
        </is>
      </c>
      <c r="B121" s="459" t="inlineStr">
        <is>
          <t>실손</t>
        </is>
      </c>
      <c r="C121" s="459" t="inlineStr">
        <is>
          <t>과실치사상</t>
        </is>
      </c>
      <c r="D121" s="459" t="inlineStr">
        <is>
          <t>벌금 과실치사상 벌금</t>
        </is>
      </c>
      <c r="E121" s="459" t="inlineStr">
        <is>
          <t>700만</t>
        </is>
      </c>
      <c r="F121" s="459" t="n">
        <v>9</v>
      </c>
      <c r="G121" s="459" t="n">
        <v>7000000</v>
      </c>
      <c r="H121" s="459" t="inlineStr">
        <is>
          <t>서상웅 님의 상품별 가입담보상세 2026-05-14 10:32:45 (55세 ,남자) ※ 기준담보/권장금액 : 기본형(37개)/표준형 하나손보</t>
        </is>
      </c>
      <c r="I121" s="459" t="inlineStr">
        <is>
          <t>2023-11-23</t>
        </is>
      </c>
      <c r="J121" s="459" t="inlineStr">
        <is>
          <t>무배당 하나 가득담은 운전자보험(2309)</t>
        </is>
      </c>
      <c r="K121" s="459" t="inlineStr">
        <is>
          <t>33,618원</t>
        </is>
      </c>
      <c r="L121" s="459" t="n">
        <v>33618</v>
      </c>
      <c r="M121" s="459" t="inlineStr">
        <is>
          <t>운전자 담보</t>
        </is>
      </c>
    </row>
    <row r="122">
      <c r="A122" s="459" t="inlineStr">
        <is>
          <t>23</t>
        </is>
      </c>
      <c r="B122" s="459" t="inlineStr">
        <is>
          <t>실손</t>
        </is>
      </c>
      <c r="C122" s="459" t="inlineStr">
        <is>
          <t>업무상과실</t>
        </is>
      </c>
      <c r="D122" s="459" t="inlineStr">
        <is>
          <t>중과실치사상 벌금 업무상과실 중과실치사상 벌금</t>
        </is>
      </c>
      <c r="E122" s="459" t="inlineStr">
        <is>
          <t>2,000만</t>
        </is>
      </c>
      <c r="F122" s="459" t="n">
        <v>9</v>
      </c>
      <c r="G122" s="459" t="n">
        <v>20000000</v>
      </c>
      <c r="H122" s="459" t="inlineStr">
        <is>
          <t>서상웅 님의 상품별 가입담보상세 2026-05-14 10:32:45 (55세 ,남자) ※ 기준담보/권장금액 : 기본형(37개)/표준형 하나손보</t>
        </is>
      </c>
      <c r="I122" s="459" t="inlineStr">
        <is>
          <t>2023-11-23</t>
        </is>
      </c>
      <c r="J122" s="459" t="inlineStr">
        <is>
          <t>무배당 하나 가득담은 운전자보험(2309)</t>
        </is>
      </c>
      <c r="K122" s="459" t="inlineStr">
        <is>
          <t>33,618원</t>
        </is>
      </c>
      <c r="L122" s="459" t="n">
        <v>33618</v>
      </c>
      <c r="M122" s="459" t="inlineStr">
        <is>
          <t>운전자 담보</t>
        </is>
      </c>
    </row>
    <row r="123">
      <c r="A123" s="459" t="inlineStr">
        <is>
          <t>24</t>
        </is>
      </c>
      <c r="B123" s="459" t="inlineStr">
        <is>
          <t>실손</t>
        </is>
      </c>
      <c r="C123" s="459" t="inlineStr">
        <is>
          <t>가족생활배상책임</t>
        </is>
      </c>
      <c r="D123" s="459" t="inlineStr">
        <is>
          <t>가족생활배상책임</t>
        </is>
      </c>
      <c r="E123" s="459" t="inlineStr">
        <is>
          <t>1억</t>
        </is>
      </c>
      <c r="F123" s="459" t="n">
        <v>9</v>
      </c>
      <c r="G123" s="459" t="n">
        <v>100000000</v>
      </c>
      <c r="H123" s="459" t="inlineStr">
        <is>
          <t>서상웅 님의 상품별 가입담보상세 2026-05-14 10:32:45 (55세 ,남자) ※ 기준담보/권장금액 : 기본형(37개)/표준형 하나손보</t>
        </is>
      </c>
      <c r="I123" s="459" t="inlineStr">
        <is>
          <t>2023-11-23</t>
        </is>
      </c>
      <c r="J123" s="459" t="inlineStr">
        <is>
          <t>무배당 하나 가득담은 운전자보험(2309)</t>
        </is>
      </c>
      <c r="K123" s="459" t="inlineStr">
        <is>
          <t>33,618원</t>
        </is>
      </c>
      <c r="L123" s="459" t="n">
        <v>33618</v>
      </c>
      <c r="M123" s="459" t="inlineStr">
        <is>
          <t>미분류</t>
        </is>
      </c>
    </row>
    <row r="124">
      <c r="A124" s="459" t="inlineStr">
        <is>
          <t>1</t>
        </is>
      </c>
      <c r="B124" s="459" t="inlineStr">
        <is>
          <t>정액</t>
        </is>
      </c>
      <c r="C124" s="459" t="inlineStr">
        <is>
          <t>SI재해사망</t>
        </is>
      </c>
      <c r="D124" s="459" t="inlineStr">
        <is>
          <t>상해사망(유병자)</t>
        </is>
      </c>
      <c r="E124" s="459" t="inlineStr">
        <is>
          <t>100만</t>
        </is>
      </c>
      <c r="F124" s="459" t="n">
        <v>10</v>
      </c>
      <c r="G124" s="459" t="n">
        <v>1000000</v>
      </c>
      <c r="H124" s="459" t="inlineStr">
        <is>
          <t>서상웅 님의 상품별 가입담보상세 2026-05-14 10:32:45 (55세 ,남자) ※ 기준담보/권장금액 : 기본형(37개)/표준형 ABL생명</t>
        </is>
      </c>
      <c r="I124" s="459" t="inlineStr">
        <is>
          <t>2023-02-14</t>
        </is>
      </c>
      <c r="J124" s="459" t="inlineStr">
        <is>
          <t>DIY(무)ABL THE건강통합보험(갱신형)(간편심사형)2205</t>
        </is>
      </c>
      <c r="K124" s="459" t="inlineStr">
        <is>
          <t>21,866원</t>
        </is>
      </c>
      <c r="L124" s="459" t="n">
        <v>21866</v>
      </c>
      <c r="M124" s="459" t="inlineStr">
        <is>
          <t>상해사망</t>
        </is>
      </c>
    </row>
    <row r="125">
      <c r="A125" s="459" t="inlineStr">
        <is>
          <t>2</t>
        </is>
      </c>
      <c r="B125" s="459" t="inlineStr">
        <is>
          <t>정액</t>
        </is>
      </c>
      <c r="C125" s="459" t="inlineStr">
        <is>
          <t>SI질병종수술</t>
        </is>
      </c>
      <c r="D125" s="459" t="inlineStr">
        <is>
          <t>질병종수술</t>
        </is>
      </c>
      <c r="E125" s="459" t="inlineStr">
        <is>
          <t>250만</t>
        </is>
      </c>
      <c r="F125" s="459" t="n">
        <v>10</v>
      </c>
      <c r="G125" s="459" t="n">
        <v>2500000</v>
      </c>
      <c r="H125" s="459" t="inlineStr">
        <is>
          <t>서상웅 님의 상품별 가입담보상세 2026-05-14 10:32:45 (55세 ,남자) ※ 기준담보/권장금액 : 기본형(37개)/표준형 ABL생명</t>
        </is>
      </c>
      <c r="I125" s="459" t="inlineStr">
        <is>
          <t>2023-02-14</t>
        </is>
      </c>
      <c r="J125" s="459" t="inlineStr">
        <is>
          <t>DIY(무)ABL THE건강통합보험(갱신형)(간편심사형)2205</t>
        </is>
      </c>
      <c r="K125" s="459" t="inlineStr">
        <is>
          <t>21,866원</t>
        </is>
      </c>
      <c r="L125" s="459" t="n">
        <v>21866</v>
      </c>
      <c r="M125" s="459" t="inlineStr">
        <is>
          <t>미분류</t>
        </is>
      </c>
    </row>
    <row r="126">
      <c r="A126" s="459" t="inlineStr">
        <is>
          <t>3</t>
        </is>
      </c>
      <c r="B126" s="459" t="inlineStr">
        <is>
          <t>정액</t>
        </is>
      </c>
      <c r="C126" s="459" t="inlineStr">
        <is>
          <t>SI상해종수술</t>
        </is>
      </c>
      <c r="D126" s="459" t="inlineStr">
        <is>
          <t>상해종수술</t>
        </is>
      </c>
      <c r="E126" s="459" t="inlineStr">
        <is>
          <t>250만</t>
        </is>
      </c>
      <c r="F126" s="459" t="n">
        <v>10</v>
      </c>
      <c r="G126" s="459" t="n">
        <v>2500000</v>
      </c>
      <c r="H126" s="459" t="inlineStr">
        <is>
          <t>서상웅 님의 상품별 가입담보상세 2026-05-14 10:32:45 (55세 ,남자) ※ 기준담보/권장금액 : 기본형(37개)/표준형 ABL생명</t>
        </is>
      </c>
      <c r="I126" s="459" t="inlineStr">
        <is>
          <t>2023-02-14</t>
        </is>
      </c>
      <c r="J126" s="459" t="inlineStr">
        <is>
          <t>DIY(무)ABL THE건강통합보험(갱신형)(간편심사형)2205</t>
        </is>
      </c>
      <c r="K126" s="459" t="inlineStr">
        <is>
          <t>21,866원</t>
        </is>
      </c>
      <c r="L126" s="459" t="n">
        <v>21866</v>
      </c>
      <c r="M126" s="459" t="inlineStr">
        <is>
          <t>미분류</t>
        </is>
      </c>
    </row>
    <row r="127">
      <c r="A127" s="459" t="inlineStr">
        <is>
          <t>4</t>
        </is>
      </c>
      <c r="B127" s="459" t="inlineStr">
        <is>
          <t>정액</t>
        </is>
      </c>
      <c r="C127" s="459" t="inlineStr">
        <is>
          <t>SI입원비</t>
        </is>
      </c>
      <c r="D127" s="459" t="inlineStr">
        <is>
          <t>질병입원일당(유병자)</t>
        </is>
      </c>
      <c r="E127" s="459" t="inlineStr">
        <is>
          <t>3만</t>
        </is>
      </c>
      <c r="F127" s="459" t="n">
        <v>10</v>
      </c>
      <c r="G127" s="459" t="n">
        <v>30000</v>
      </c>
      <c r="H127" s="459" t="inlineStr">
        <is>
          <t>서상웅 님의 상품별 가입담보상세 2026-05-14 10:32:45 (55세 ,남자) ※ 기준담보/권장금액 : 기본형(37개)/표준형 ABL생명</t>
        </is>
      </c>
      <c r="I127" s="459" t="inlineStr">
        <is>
          <t>2023-02-14</t>
        </is>
      </c>
      <c r="J127" s="459" t="inlineStr">
        <is>
          <t>DIY(무)ABL THE건강통합보험(갱신형)(간편심사형)2205</t>
        </is>
      </c>
      <c r="K127" s="459" t="inlineStr">
        <is>
          <t>21,866원</t>
        </is>
      </c>
      <c r="L127" s="459" t="n">
        <v>21866</v>
      </c>
      <c r="M127" s="459" t="inlineStr">
        <is>
          <t>질병입원일당</t>
        </is>
      </c>
    </row>
    <row r="128">
      <c r="A128" s="459" t="inlineStr">
        <is>
          <t>5</t>
        </is>
      </c>
      <c r="B128" s="459" t="inlineStr">
        <is>
          <t>정액</t>
        </is>
      </c>
      <c r="C128" s="459" t="inlineStr">
        <is>
          <t>SI입원비</t>
        </is>
      </c>
      <c r="D128" s="459" t="inlineStr">
        <is>
          <t>상해입원일당(유병자)</t>
        </is>
      </c>
      <c r="E128" s="459" t="inlineStr">
        <is>
          <t>3만</t>
        </is>
      </c>
      <c r="F128" s="459" t="n">
        <v>10</v>
      </c>
      <c r="G128" s="459" t="n">
        <v>30000</v>
      </c>
      <c r="H128" s="459" t="inlineStr">
        <is>
          <t>서상웅 님의 상품별 가입담보상세 2026-05-14 10:32:45 (55세 ,남자) ※ 기준담보/권장금액 : 기본형(37개)/표준형 ABL생명</t>
        </is>
      </c>
      <c r="I128" s="459" t="inlineStr">
        <is>
          <t>2023-02-14</t>
        </is>
      </c>
      <c r="J128" s="459" t="inlineStr">
        <is>
          <t>DIY(무)ABL THE건강통합보험(갱신형)(간편심사형)2205</t>
        </is>
      </c>
      <c r="K128" s="459" t="inlineStr">
        <is>
          <t>21,866원</t>
        </is>
      </c>
      <c r="L128" s="459" t="n">
        <v>21866</v>
      </c>
      <c r="M128" s="459" t="inlineStr">
        <is>
          <t>상해입원일당</t>
        </is>
      </c>
    </row>
    <row r="129">
      <c r="A129" s="459" t="inlineStr">
        <is>
          <t>1</t>
        </is>
      </c>
      <c r="B129" s="459" t="inlineStr">
        <is>
          <t>정액</t>
        </is>
      </c>
      <c r="C129" s="459" t="inlineStr">
        <is>
          <t>M-케어 건강보험(간편고지형(0),</t>
        </is>
      </c>
      <c r="D129" s="459" t="inlineStr">
        <is>
          <t>갱신형) 무배당 최초계약 상해사망(유병자)</t>
        </is>
      </c>
      <c r="E129" s="459" t="inlineStr">
        <is>
          <t>2,000만</t>
        </is>
      </c>
      <c r="F129" s="459" t="n">
        <v>11</v>
      </c>
      <c r="G129" s="459" t="n">
        <v>20000000</v>
      </c>
      <c r="H129" s="459" t="inlineStr">
        <is>
          <t>서상웅 님의 상품별 가입담보상세 2026-05-14 10:32:45 (55세 ,남자) ※ 기준담보/권장금액 : 기본형(37개)/표준형 미래에셋생명</t>
        </is>
      </c>
      <c r="I129" s="459" t="inlineStr">
        <is>
          <t>2026-01-26</t>
        </is>
      </c>
      <c r="J129" s="459" t="inlineStr">
        <is>
          <t>M-케어 건강보험(간편고지형(0),갱신형) 무배당</t>
        </is>
      </c>
      <c r="K129" s="459" t="inlineStr">
        <is>
          <t>50,869원</t>
        </is>
      </c>
      <c r="L129" s="459" t="n">
        <v>50869</v>
      </c>
      <c r="M129" s="459" t="inlineStr">
        <is>
          <t>상해사망</t>
        </is>
      </c>
    </row>
    <row r="130">
      <c r="A130" s="459" t="inlineStr">
        <is>
          <t>2</t>
        </is>
      </c>
      <c r="B130" s="459" t="inlineStr">
        <is>
          <t>정액</t>
        </is>
      </c>
      <c r="C130" s="459" t="inlineStr">
        <is>
          <t>질병수술특약(간편고지형(0),</t>
        </is>
      </c>
      <c r="D130" s="459" t="inlineStr">
        <is>
          <t>갱신형) 최초계약 질병수술(유병자)</t>
        </is>
      </c>
      <c r="E130" s="459" t="inlineStr">
        <is>
          <t>10만</t>
        </is>
      </c>
      <c r="F130" s="459" t="n">
        <v>11</v>
      </c>
      <c r="G130" s="459" t="n">
        <v>100000</v>
      </c>
      <c r="H130" s="459" t="inlineStr">
        <is>
          <t>서상웅 님의 상품별 가입담보상세 2026-05-14 10:32:45 (55세 ,남자) ※ 기준담보/권장금액 : 기본형(37개)/표준형 미래에셋생명</t>
        </is>
      </c>
      <c r="I130" s="459" t="inlineStr">
        <is>
          <t>2026-01-26</t>
        </is>
      </c>
      <c r="J130" s="459" t="inlineStr">
        <is>
          <t>M-케어 건강보험(간편고지형(0),갱신형) 무배당</t>
        </is>
      </c>
      <c r="K130" s="459" t="inlineStr">
        <is>
          <t>50,869원</t>
        </is>
      </c>
      <c r="L130" s="459" t="n">
        <v>50869</v>
      </c>
      <c r="M130" s="459" t="inlineStr">
        <is>
          <t>질병수술비</t>
        </is>
      </c>
    </row>
    <row r="131">
      <c r="A131" s="459" t="inlineStr">
        <is>
          <t>3</t>
        </is>
      </c>
      <c r="B131" s="459" t="inlineStr">
        <is>
          <t>정액</t>
        </is>
      </c>
      <c r="C131" s="459" t="inlineStr">
        <is>
          <t>1-5종수술특약(1종)(간편고지형(0),</t>
        </is>
      </c>
      <c r="D131" s="459" t="inlineStr">
        <is>
          <t>갱신형) 최초계약 질병종수술</t>
        </is>
      </c>
      <c r="E131" s="459" t="inlineStr">
        <is>
          <t>20만</t>
        </is>
      </c>
      <c r="F131" s="459" t="n">
        <v>11</v>
      </c>
      <c r="G131" s="459" t="n">
        <v>200000</v>
      </c>
      <c r="H131" s="459" t="inlineStr">
        <is>
          <t>서상웅 님의 상품별 가입담보상세 2026-05-14 10:32:45 (55세 ,남자) ※ 기준담보/권장금액 : 기본형(37개)/표준형 미래에셋생명</t>
        </is>
      </c>
      <c r="I131" s="459" t="inlineStr">
        <is>
          <t>2026-01-26</t>
        </is>
      </c>
      <c r="J131" s="459" t="inlineStr">
        <is>
          <t>M-케어 건강보험(간편고지형(0),갱신형) 무배당</t>
        </is>
      </c>
      <c r="K131" s="459" t="inlineStr">
        <is>
          <t>50,869원</t>
        </is>
      </c>
      <c r="L131" s="459" t="n">
        <v>50869</v>
      </c>
      <c r="M131" s="459" t="inlineStr">
        <is>
          <t>미분류</t>
        </is>
      </c>
    </row>
    <row r="132">
      <c r="A132" s="459" t="inlineStr">
        <is>
          <t>4</t>
        </is>
      </c>
      <c r="B132" s="459" t="inlineStr">
        <is>
          <t>정액</t>
        </is>
      </c>
      <c r="C132" s="459" t="inlineStr">
        <is>
          <t>1-5종수술특약(2종)(간편고지형(0),</t>
        </is>
      </c>
      <c r="D132" s="459" t="inlineStr">
        <is>
          <t>갱신형) 최초계약 질병종수술</t>
        </is>
      </c>
      <c r="E132" s="459" t="inlineStr">
        <is>
          <t>40만</t>
        </is>
      </c>
      <c r="F132" s="459" t="n">
        <v>11</v>
      </c>
      <c r="G132" s="459" t="n">
        <v>400000</v>
      </c>
      <c r="H132" s="459" t="inlineStr">
        <is>
          <t>서상웅 님의 상품별 가입담보상세 2026-05-14 10:32:45 (55세 ,남자) ※ 기준담보/권장금액 : 기본형(37개)/표준형 미래에셋생명</t>
        </is>
      </c>
      <c r="I132" s="459" t="inlineStr">
        <is>
          <t>2026-01-26</t>
        </is>
      </c>
      <c r="J132" s="459" t="inlineStr">
        <is>
          <t>M-케어 건강보험(간편고지형(0),갱신형) 무배당</t>
        </is>
      </c>
      <c r="K132" s="459" t="inlineStr">
        <is>
          <t>50,869원</t>
        </is>
      </c>
      <c r="L132" s="459" t="n">
        <v>50869</v>
      </c>
      <c r="M132" s="459" t="inlineStr">
        <is>
          <t>미분류</t>
        </is>
      </c>
    </row>
    <row r="133">
      <c r="A133" s="459" t="inlineStr">
        <is>
          <t>5</t>
        </is>
      </c>
      <c r="B133" s="459" t="inlineStr">
        <is>
          <t>정액</t>
        </is>
      </c>
      <c r="C133" s="459" t="inlineStr">
        <is>
          <t>1-5종수술특약(3종)(간편고지형(0),</t>
        </is>
      </c>
      <c r="D133" s="459" t="inlineStr">
        <is>
          <t>갱신형) 최초계약 질병종수술</t>
        </is>
      </c>
      <c r="E133" s="459" t="inlineStr">
        <is>
          <t>300만</t>
        </is>
      </c>
      <c r="F133" s="459" t="n">
        <v>11</v>
      </c>
      <c r="G133" s="459" t="n">
        <v>3000000</v>
      </c>
      <c r="H133" s="459" t="inlineStr">
        <is>
          <t>서상웅 님의 상품별 가입담보상세 2026-05-14 10:32:45 (55세 ,남자) ※ 기준담보/권장금액 : 기본형(37개)/표준형 미래에셋생명</t>
        </is>
      </c>
      <c r="I133" s="459" t="inlineStr">
        <is>
          <t>2026-01-26</t>
        </is>
      </c>
      <c r="J133" s="459" t="inlineStr">
        <is>
          <t>M-케어 건강보험(간편고지형(0),갱신형) 무배당</t>
        </is>
      </c>
      <c r="K133" s="459" t="inlineStr">
        <is>
          <t>50,869원</t>
        </is>
      </c>
      <c r="L133" s="459" t="n">
        <v>50869</v>
      </c>
      <c r="M133" s="459" t="inlineStr">
        <is>
          <t>미분류</t>
        </is>
      </c>
    </row>
    <row r="134">
      <c r="A134" s="459" t="inlineStr">
        <is>
          <t>6</t>
        </is>
      </c>
      <c r="B134" s="459" t="inlineStr">
        <is>
          <t>정액</t>
        </is>
      </c>
      <c r="C134" s="459" t="inlineStr">
        <is>
          <t>1-5종수술특약(4종)(간편고지형(0),</t>
        </is>
      </c>
      <c r="D134" s="459" t="inlineStr">
        <is>
          <t>갱신형) 최초계약 질병종수술</t>
        </is>
      </c>
      <c r="E134" s="459" t="inlineStr">
        <is>
          <t>500만</t>
        </is>
      </c>
      <c r="F134" s="459" t="n">
        <v>11</v>
      </c>
      <c r="G134" s="459" t="n">
        <v>5000000</v>
      </c>
      <c r="H134" s="459" t="inlineStr">
        <is>
          <t>서상웅 님의 상품별 가입담보상세 2026-05-14 10:32:45 (55세 ,남자) ※ 기준담보/권장금액 : 기본형(37개)/표준형 미래에셋생명</t>
        </is>
      </c>
      <c r="I134" s="459" t="inlineStr">
        <is>
          <t>2026-01-26</t>
        </is>
      </c>
      <c r="J134" s="459" t="inlineStr">
        <is>
          <t>M-케어 건강보험(간편고지형(0),갱신형) 무배당</t>
        </is>
      </c>
      <c r="K134" s="459" t="inlineStr">
        <is>
          <t>50,869원</t>
        </is>
      </c>
      <c r="L134" s="459" t="n">
        <v>50869</v>
      </c>
      <c r="M134" s="459" t="inlineStr">
        <is>
          <t>미분류</t>
        </is>
      </c>
    </row>
    <row r="135">
      <c r="A135" s="459" t="inlineStr">
        <is>
          <t>7</t>
        </is>
      </c>
      <c r="B135" s="459" t="inlineStr">
        <is>
          <t>정액</t>
        </is>
      </c>
      <c r="C135" s="459" t="inlineStr">
        <is>
          <t>1-5종수술특약(5종)(간편고지형(0),</t>
        </is>
      </c>
      <c r="D135" s="459" t="inlineStr">
        <is>
          <t>갱신형) 최초계약 질병종수술</t>
        </is>
      </c>
      <c r="E135" s="459" t="inlineStr">
        <is>
          <t>1,000만</t>
        </is>
      </c>
      <c r="F135" s="459" t="n">
        <v>11</v>
      </c>
      <c r="G135" s="459" t="n">
        <v>10000000</v>
      </c>
      <c r="H135" s="459" t="inlineStr">
        <is>
          <t>서상웅 님의 상품별 가입담보상세 2026-05-14 10:32:45 (55세 ,남자) ※ 기준담보/권장금액 : 기본형(37개)/표준형 미래에셋생명</t>
        </is>
      </c>
      <c r="I135" s="459" t="inlineStr">
        <is>
          <t>2026-01-26</t>
        </is>
      </c>
      <c r="J135" s="459" t="inlineStr">
        <is>
          <t>M-케어 건강보험(간편고지형(0),갱신형) 무배당</t>
        </is>
      </c>
      <c r="K135" s="459" t="inlineStr">
        <is>
          <t>50,869원</t>
        </is>
      </c>
      <c r="L135" s="459" t="n">
        <v>50869</v>
      </c>
      <c r="M135" s="459" t="inlineStr">
        <is>
          <t>미분류</t>
        </is>
      </c>
    </row>
    <row r="136">
      <c r="A136" s="459" t="inlineStr">
        <is>
          <t>8</t>
        </is>
      </c>
      <c r="B136" s="459" t="inlineStr">
        <is>
          <t>정액</t>
        </is>
      </c>
      <c r="C136" s="459" t="inlineStr">
        <is>
          <t>1-5종수술특약(1종)(간편고지형(0),</t>
        </is>
      </c>
      <c r="D136" s="459" t="inlineStr">
        <is>
          <t>갱신형) 최초계약 상해종수술</t>
        </is>
      </c>
      <c r="E136" s="459" t="inlineStr">
        <is>
          <t>20만</t>
        </is>
      </c>
      <c r="F136" s="459" t="n">
        <v>11</v>
      </c>
      <c r="G136" s="459" t="n">
        <v>200000</v>
      </c>
      <c r="H136" s="459" t="inlineStr">
        <is>
          <t>서상웅 님의 상품별 가입담보상세 2026-05-14 10:32:45 (55세 ,남자) ※ 기준담보/권장금액 : 기본형(37개)/표준형 미래에셋생명</t>
        </is>
      </c>
      <c r="I136" s="459" t="inlineStr">
        <is>
          <t>2026-01-26</t>
        </is>
      </c>
      <c r="J136" s="459" t="inlineStr">
        <is>
          <t>M-케어 건강보험(간편고지형(0),갱신형) 무배당</t>
        </is>
      </c>
      <c r="K136" s="459" t="inlineStr">
        <is>
          <t>50,869원</t>
        </is>
      </c>
      <c r="L136" s="459" t="n">
        <v>50869</v>
      </c>
      <c r="M136" s="459" t="inlineStr">
        <is>
          <t>미분류</t>
        </is>
      </c>
    </row>
    <row r="137">
      <c r="A137" s="459" t="inlineStr">
        <is>
          <t>9</t>
        </is>
      </c>
      <c r="B137" s="459" t="inlineStr">
        <is>
          <t>정액</t>
        </is>
      </c>
      <c r="C137" s="459" t="inlineStr">
        <is>
          <t>1-5종수술특약(2종)(간편고지형(0),</t>
        </is>
      </c>
      <c r="D137" s="459" t="inlineStr">
        <is>
          <t>갱신형) 최초계약 상해종수술</t>
        </is>
      </c>
      <c r="E137" s="459" t="inlineStr">
        <is>
          <t>40만</t>
        </is>
      </c>
      <c r="F137" s="459" t="n">
        <v>11</v>
      </c>
      <c r="G137" s="459" t="n">
        <v>400000</v>
      </c>
      <c r="H137" s="459" t="inlineStr">
        <is>
          <t>서상웅 님의 상품별 가입담보상세 2026-05-14 10:32:45 (55세 ,남자) ※ 기준담보/권장금액 : 기본형(37개)/표준형 미래에셋생명</t>
        </is>
      </c>
      <c r="I137" s="459" t="inlineStr">
        <is>
          <t>2026-01-26</t>
        </is>
      </c>
      <c r="J137" s="459" t="inlineStr">
        <is>
          <t>M-케어 건강보험(간편고지형(0),갱신형) 무배당</t>
        </is>
      </c>
      <c r="K137" s="459" t="inlineStr">
        <is>
          <t>50,869원</t>
        </is>
      </c>
      <c r="L137" s="459" t="n">
        <v>50869</v>
      </c>
      <c r="M137" s="459" t="inlineStr">
        <is>
          <t>미분류</t>
        </is>
      </c>
    </row>
    <row r="138">
      <c r="A138" s="459" t="inlineStr">
        <is>
          <t>10</t>
        </is>
      </c>
      <c r="B138" s="459" t="inlineStr">
        <is>
          <t>정액</t>
        </is>
      </c>
      <c r="C138" s="459" t="inlineStr">
        <is>
          <t>1-5종수술특약(3종)(간편고지형(0),</t>
        </is>
      </c>
      <c r="D138" s="459" t="inlineStr">
        <is>
          <t>갱신형) 최초계약 상해종수술</t>
        </is>
      </c>
      <c r="E138" s="459" t="inlineStr">
        <is>
          <t>300만</t>
        </is>
      </c>
      <c r="F138" s="459" t="n">
        <v>11</v>
      </c>
      <c r="G138" s="459" t="n">
        <v>3000000</v>
      </c>
      <c r="H138" s="459" t="inlineStr">
        <is>
          <t>서상웅 님의 상품별 가입담보상세 2026-05-14 10:32:45 (55세 ,남자) ※ 기준담보/권장금액 : 기본형(37개)/표준형 미래에셋생명</t>
        </is>
      </c>
      <c r="I138" s="459" t="inlineStr">
        <is>
          <t>2026-01-26</t>
        </is>
      </c>
      <c r="J138" s="459" t="inlineStr">
        <is>
          <t>M-케어 건강보험(간편고지형(0),갱신형) 무배당</t>
        </is>
      </c>
      <c r="K138" s="459" t="inlineStr">
        <is>
          <t>50,869원</t>
        </is>
      </c>
      <c r="L138" s="459" t="n">
        <v>50869</v>
      </c>
      <c r="M138" s="459" t="inlineStr">
        <is>
          <t>미분류</t>
        </is>
      </c>
    </row>
    <row r="139">
      <c r="A139" s="459" t="inlineStr">
        <is>
          <t>11</t>
        </is>
      </c>
      <c r="B139" s="459" t="inlineStr">
        <is>
          <t>정액</t>
        </is>
      </c>
      <c r="C139" s="459" t="inlineStr">
        <is>
          <t>1-5종수술특약(4종)(간편고지형(0),</t>
        </is>
      </c>
      <c r="D139" s="459" t="inlineStr">
        <is>
          <t>갱신형) 최초계약 상해종수술</t>
        </is>
      </c>
      <c r="E139" s="459" t="inlineStr">
        <is>
          <t>500만</t>
        </is>
      </c>
      <c r="F139" s="459" t="n">
        <v>11</v>
      </c>
      <c r="G139" s="459" t="n">
        <v>5000000</v>
      </c>
      <c r="H139" s="459" t="inlineStr">
        <is>
          <t>서상웅 님의 상품별 가입담보상세 2026-05-14 10:32:45 (55세 ,남자) ※ 기준담보/권장금액 : 기본형(37개)/표준형 미래에셋생명</t>
        </is>
      </c>
      <c r="I139" s="459" t="inlineStr">
        <is>
          <t>2026-01-26</t>
        </is>
      </c>
      <c r="J139" s="459" t="inlineStr">
        <is>
          <t>M-케어 건강보험(간편고지형(0),갱신형) 무배당</t>
        </is>
      </c>
      <c r="K139" s="459" t="inlineStr">
        <is>
          <t>50,869원</t>
        </is>
      </c>
      <c r="L139" s="459" t="n">
        <v>50869</v>
      </c>
      <c r="M139" s="459" t="inlineStr">
        <is>
          <t>미분류</t>
        </is>
      </c>
    </row>
    <row r="140">
      <c r="A140" s="459" t="inlineStr">
        <is>
          <t>12</t>
        </is>
      </c>
      <c r="B140" s="459" t="inlineStr">
        <is>
          <t>정액</t>
        </is>
      </c>
      <c r="C140" s="459" t="inlineStr">
        <is>
          <t>1-5종수술특약(5종)(간편고지형(0),</t>
        </is>
      </c>
      <c r="D140" s="459" t="inlineStr">
        <is>
          <t>갱신형) 최초계약 상해종수술</t>
        </is>
      </c>
      <c r="E140" s="459" t="inlineStr">
        <is>
          <t>1,000만</t>
        </is>
      </c>
      <c r="F140" s="459" t="n">
        <v>11</v>
      </c>
      <c r="G140" s="459" t="n">
        <v>10000000</v>
      </c>
      <c r="H140" s="459" t="inlineStr">
        <is>
          <t>서상웅 님의 상품별 가입담보상세 2026-05-14 10:32:45 (55세 ,남자) ※ 기준담보/권장금액 : 기본형(37개)/표준형 미래에셋생명</t>
        </is>
      </c>
      <c r="I140" s="459" t="inlineStr">
        <is>
          <t>2026-01-26</t>
        </is>
      </c>
      <c r="J140" s="459" t="inlineStr">
        <is>
          <t>M-케어 건강보험(간편고지형(0),갱신형) 무배당</t>
        </is>
      </c>
      <c r="K140" s="459" t="inlineStr">
        <is>
          <t>50,869원</t>
        </is>
      </c>
      <c r="L140" s="459" t="n">
        <v>50869</v>
      </c>
      <c r="M140" s="459" t="inlineStr">
        <is>
          <t>미분류</t>
        </is>
      </c>
    </row>
    <row r="141">
      <c r="A141" s="459" t="inlineStr">
        <is>
          <t>1</t>
        </is>
      </c>
      <c r="B141" s="459" t="inlineStr">
        <is>
          <t>정액</t>
        </is>
      </c>
      <c r="C141" s="459" t="inlineStr">
        <is>
          <t>M-케어 건강보험(3.10.5 간편고지,</t>
        </is>
      </c>
      <c r="D141" s="459" t="inlineStr">
        <is>
          <t>갱신형) 무배당 최초계약 상해사망(유병자)</t>
        </is>
      </c>
      <c r="E141" s="459" t="inlineStr">
        <is>
          <t>2,000만</t>
        </is>
      </c>
      <c r="F141" s="459" t="n">
        <v>12</v>
      </c>
      <c r="G141" s="459" t="n">
        <v>20000000</v>
      </c>
      <c r="H141" s="459" t="inlineStr">
        <is>
          <t>서상웅 님의 상품별 가입담보상세 2026-05-14 10:32:45 (55세 ,남자) ※ 기준담보/권장금액 : 기본형(37개)/표준형 미래에셋생명</t>
        </is>
      </c>
      <c r="I141" s="459" t="inlineStr">
        <is>
          <t>2026-01-26</t>
        </is>
      </c>
      <c r="J141" s="459" t="inlineStr">
        <is>
          <t>M-케어 건강보험(3.10.5 간편고지, 갱신형) 무배당</t>
        </is>
      </c>
      <c r="K141" s="459" t="inlineStr">
        <is>
          <t>101,522원</t>
        </is>
      </c>
      <c r="L141" s="459" t="n">
        <v>101522</v>
      </c>
      <c r="M141" s="459" t="inlineStr">
        <is>
          <t>상해사망</t>
        </is>
      </c>
    </row>
    <row r="142">
      <c r="A142" s="459" t="inlineStr">
        <is>
          <t>2</t>
        </is>
      </c>
      <c r="B142" s="459" t="inlineStr">
        <is>
          <t>정액</t>
        </is>
      </c>
      <c r="C142" s="459" t="inlineStr">
        <is>
          <t>암(유사암제외)진단특약(3.10.5 간편고지,</t>
        </is>
      </c>
      <c r="D142" s="459" t="inlineStr">
        <is>
          <t>갱신형) 최초계약 암진단(유병자)</t>
        </is>
      </c>
      <c r="E142" s="459" t="inlineStr">
        <is>
          <t>5,000만</t>
        </is>
      </c>
      <c r="F142" s="459" t="n">
        <v>12</v>
      </c>
      <c r="G142" s="459" t="n">
        <v>50000000</v>
      </c>
      <c r="H142" s="459" t="inlineStr">
        <is>
          <t>서상웅 님의 상품별 가입담보상세 2026-05-14 10:32:45 (55세 ,남자) ※ 기준담보/권장금액 : 기본형(37개)/표준형 미래에셋생명</t>
        </is>
      </c>
      <c r="I142" s="459" t="inlineStr">
        <is>
          <t>2026-01-26</t>
        </is>
      </c>
      <c r="J142" s="459" t="inlineStr">
        <is>
          <t>M-케어 건강보험(3.10.5 간편고지, 갱신형) 무배당</t>
        </is>
      </c>
      <c r="K142" s="459" t="inlineStr">
        <is>
          <t>101,522원</t>
        </is>
      </c>
      <c r="L142" s="459" t="n">
        <v>101522</v>
      </c>
      <c r="M142" s="459" t="inlineStr">
        <is>
          <t>일반암 진단비</t>
        </is>
      </c>
    </row>
    <row r="143">
      <c r="A143" s="459" t="inlineStr">
        <is>
          <t>3</t>
        </is>
      </c>
      <c r="B143" s="459" t="inlineStr">
        <is>
          <t>정액</t>
        </is>
      </c>
      <c r="C143" s="459" t="inlineStr">
        <is>
          <t>유사암진단특약(3.10.5 간편고지,</t>
        </is>
      </c>
      <c r="D143" s="459" t="inlineStr">
        <is>
          <t>갱신형) 최초계약 소액암진단(유사암진단)</t>
        </is>
      </c>
      <c r="E143" s="459" t="inlineStr">
        <is>
          <t>1,000만</t>
        </is>
      </c>
      <c r="F143" s="459" t="n">
        <v>12</v>
      </c>
      <c r="G143" s="459" t="n">
        <v>10000000</v>
      </c>
      <c r="H143" s="459" t="inlineStr">
        <is>
          <t>서상웅 님의 상품별 가입담보상세 2026-05-14 10:32:45 (55세 ,남자) ※ 기준담보/권장금액 : 기본형(37개)/표준형 미래에셋생명</t>
        </is>
      </c>
      <c r="I143" s="459" t="inlineStr">
        <is>
          <t>2026-01-26</t>
        </is>
      </c>
      <c r="J143" s="459" t="inlineStr">
        <is>
          <t>M-케어 건강보험(3.10.5 간편고지, 갱신형) 무배당</t>
        </is>
      </c>
      <c r="K143" s="459" t="inlineStr">
        <is>
          <t>101,522원</t>
        </is>
      </c>
      <c r="L143" s="459" t="n">
        <v>101522</v>
      </c>
      <c r="M143" s="459" t="inlineStr">
        <is>
          <t>일반암 진단비</t>
        </is>
      </c>
    </row>
    <row r="144">
      <c r="A144" s="459" t="inlineStr">
        <is>
          <t>4</t>
        </is>
      </c>
      <c r="B144" s="459" t="inlineStr">
        <is>
          <t>정액</t>
        </is>
      </c>
      <c r="C144" s="459" t="inlineStr">
        <is>
          <t>항암방사선치료특약(3.10.5 간편고지,</t>
        </is>
      </c>
      <c r="D144" s="459" t="inlineStr">
        <is>
          <t>갱신형) 최초계약 항암방사선약물치료비</t>
        </is>
      </c>
      <c r="E144" s="459" t="inlineStr">
        <is>
          <t>1,000만</t>
        </is>
      </c>
      <c r="F144" s="459" t="n">
        <v>12</v>
      </c>
      <c r="G144" s="459" t="n">
        <v>10000000</v>
      </c>
      <c r="H144" s="459" t="inlineStr">
        <is>
          <t>서상웅 님의 상품별 가입담보상세 2026-05-14 10:32:45 (55세 ,남자) ※ 기준담보/권장금액 : 기본형(37개)/표준형 미래에셋생명</t>
        </is>
      </c>
      <c r="I144" s="459" t="inlineStr">
        <is>
          <t>2026-01-26</t>
        </is>
      </c>
      <c r="J144" s="459" t="inlineStr">
        <is>
          <t>M-케어 건강보험(3.10.5 간편고지, 갱신형) 무배당</t>
        </is>
      </c>
      <c r="K144" s="459" t="inlineStr">
        <is>
          <t>101,522원</t>
        </is>
      </c>
      <c r="L144" s="459" t="n">
        <v>101522</v>
      </c>
      <c r="M144" s="459" t="inlineStr">
        <is>
          <t>항암방사선치료비</t>
        </is>
      </c>
    </row>
    <row r="145">
      <c r="A145" s="459" t="inlineStr">
        <is>
          <t>5</t>
        </is>
      </c>
      <c r="B145" s="459" t="inlineStr">
        <is>
          <t>정액</t>
        </is>
      </c>
      <c r="C145" s="459" t="inlineStr">
        <is>
          <t>항암약물치료특약(3.10.5 간편고지,</t>
        </is>
      </c>
      <c r="D145" s="459" t="inlineStr">
        <is>
          <t>갱신형) 최초계약 항암방사선약물치료비</t>
        </is>
      </c>
      <c r="E145" s="459" t="inlineStr">
        <is>
          <t>1,000만</t>
        </is>
      </c>
      <c r="F145" s="459" t="n">
        <v>12</v>
      </c>
      <c r="G145" s="459" t="n">
        <v>10000000</v>
      </c>
      <c r="H145" s="459" t="inlineStr">
        <is>
          <t>서상웅 님의 상품별 가입담보상세 2026-05-14 10:32:45 (55세 ,남자) ※ 기준담보/권장금액 : 기본형(37개)/표준형 미래에셋생명</t>
        </is>
      </c>
      <c r="I145" s="459" t="inlineStr">
        <is>
          <t>2026-01-26</t>
        </is>
      </c>
      <c r="J145" s="459" t="inlineStr">
        <is>
          <t>M-케어 건강보험(3.10.5 간편고지, 갱신형) 무배당</t>
        </is>
      </c>
      <c r="K145" s="459" t="inlineStr">
        <is>
          <t>101,522원</t>
        </is>
      </c>
      <c r="L145" s="459" t="n">
        <v>101522</v>
      </c>
      <c r="M145" s="459" t="inlineStr">
        <is>
          <t>항암방사선치료비</t>
        </is>
      </c>
    </row>
    <row r="146">
      <c r="A146" s="459" t="inlineStr">
        <is>
          <t>6</t>
        </is>
      </c>
      <c r="B146" s="459" t="inlineStr">
        <is>
          <t>정액</t>
        </is>
      </c>
      <c r="C146" s="459" t="inlineStr">
        <is>
          <t>항암호르몬약물치료비특약(연간1회한)(3.10.5 간편고지,</t>
        </is>
      </c>
      <c r="D146" s="459" t="inlineStr">
        <is>
          <t>갱신형) 최초계약 항암방사선약물치료비</t>
        </is>
      </c>
      <c r="E146" s="459" t="inlineStr">
        <is>
          <t>300만</t>
        </is>
      </c>
      <c r="F146" s="459" t="n">
        <v>12</v>
      </c>
      <c r="G146" s="459" t="n">
        <v>3000000</v>
      </c>
      <c r="H146" s="459" t="inlineStr">
        <is>
          <t>서상웅 님의 상품별 가입담보상세 2026-05-14 10:32:45 (55세 ,남자) ※ 기준담보/권장금액 : 기본형(37개)/표준형 미래에셋생명</t>
        </is>
      </c>
      <c r="I146" s="459" t="inlineStr">
        <is>
          <t>2026-01-26</t>
        </is>
      </c>
      <c r="J146" s="459" t="inlineStr">
        <is>
          <t>M-케어 건강보험(3.10.5 간편고지, 갱신형) 무배당</t>
        </is>
      </c>
      <c r="K146" s="459" t="inlineStr">
        <is>
          <t>101,522원</t>
        </is>
      </c>
      <c r="L146" s="459" t="n">
        <v>101522</v>
      </c>
      <c r="M146" s="459" t="inlineStr">
        <is>
          <t>항암방사선치료비</t>
        </is>
      </c>
    </row>
    <row r="147">
      <c r="A147" s="459" t="inlineStr">
        <is>
          <t>7</t>
        </is>
      </c>
      <c r="B147" s="459" t="inlineStr">
        <is>
          <t>정액</t>
        </is>
      </c>
      <c r="C147" s="459" t="inlineStr">
        <is>
          <t>특정면역항암약물허가치료특약(3.10.5 간편고지,</t>
        </is>
      </c>
      <c r="D147" s="459" t="inlineStr">
        <is>
          <t>갱신형) 최초계약 고액항암치료비</t>
        </is>
      </c>
      <c r="E147" s="459" t="inlineStr">
        <is>
          <t>5,000만</t>
        </is>
      </c>
      <c r="F147" s="459" t="n">
        <v>12</v>
      </c>
      <c r="G147" s="459" t="n">
        <v>50000000</v>
      </c>
      <c r="H147" s="459" t="inlineStr">
        <is>
          <t>서상웅 님의 상품별 가입담보상세 2026-05-14 10:32:45 (55세 ,남자) ※ 기준담보/권장금액 : 기본형(37개)/표준형 미래에셋생명</t>
        </is>
      </c>
      <c r="I147" s="459" t="inlineStr">
        <is>
          <t>2026-01-26</t>
        </is>
      </c>
      <c r="J147" s="459" t="inlineStr">
        <is>
          <t>M-케어 건강보험(3.10.5 간편고지, 갱신형) 무배당</t>
        </is>
      </c>
      <c r="K147" s="459" t="inlineStr">
        <is>
          <t>101,522원</t>
        </is>
      </c>
      <c r="L147" s="459" t="n">
        <v>101522</v>
      </c>
      <c r="M147" s="459" t="inlineStr">
        <is>
          <t>항암약물치료비</t>
        </is>
      </c>
    </row>
    <row r="148">
      <c r="A148" s="459" t="inlineStr">
        <is>
          <t>8</t>
        </is>
      </c>
      <c r="B148" s="459" t="inlineStr">
        <is>
          <t>정액</t>
        </is>
      </c>
      <c r="C148" s="459" t="inlineStr">
        <is>
          <t>표적항암약물허가치료특약(3.10.5 간편고지,</t>
        </is>
      </c>
      <c r="D148" s="459" t="inlineStr">
        <is>
          <t>갱신형) 최초계약 고액항암치료비</t>
        </is>
      </c>
      <c r="E148" s="459" t="inlineStr">
        <is>
          <t>5,000만</t>
        </is>
      </c>
      <c r="F148" s="459" t="n">
        <v>12</v>
      </c>
      <c r="G148" s="459" t="n">
        <v>50000000</v>
      </c>
      <c r="H148" s="459" t="inlineStr">
        <is>
          <t>서상웅 님의 상품별 가입담보상세 2026-05-14 10:32:45 (55세 ,남자) ※ 기준담보/권장금액 : 기본형(37개)/표준형 미래에셋생명</t>
        </is>
      </c>
      <c r="I148" s="459" t="inlineStr">
        <is>
          <t>2026-01-26</t>
        </is>
      </c>
      <c r="J148" s="459" t="inlineStr">
        <is>
          <t>M-케어 건강보험(3.10.5 간편고지, 갱신형) 무배당</t>
        </is>
      </c>
      <c r="K148" s="459" t="inlineStr">
        <is>
          <t>101,522원</t>
        </is>
      </c>
      <c r="L148" s="459" t="n">
        <v>101522</v>
      </c>
      <c r="M148" s="459" t="inlineStr">
        <is>
          <t>항암약물치료비</t>
        </is>
      </c>
    </row>
    <row r="149">
      <c r="A149" s="459" t="inlineStr">
        <is>
          <t>9</t>
        </is>
      </c>
      <c r="B149" s="459" t="inlineStr">
        <is>
          <t>정액</t>
        </is>
      </c>
      <c r="C149" s="459" t="inlineStr">
        <is>
          <t>항암 세기조절방사선치료특약(3.10.5 간편고지,</t>
        </is>
      </c>
      <c r="D149" s="459" t="inlineStr">
        <is>
          <t>갱신형) 최초계약 고액항암치료비</t>
        </is>
      </c>
      <c r="E149" s="459" t="inlineStr">
        <is>
          <t>1,000만</t>
        </is>
      </c>
      <c r="F149" s="459" t="n">
        <v>12</v>
      </c>
      <c r="G149" s="459" t="n">
        <v>10000000</v>
      </c>
      <c r="H149" s="459" t="inlineStr">
        <is>
          <t>서상웅 님의 상품별 가입담보상세 2026-05-14 10:32:45 (55세 ,남자) ※ 기준담보/권장금액 : 기본형(37개)/표준형 미래에셋생명</t>
        </is>
      </c>
      <c r="I149" s="459" t="inlineStr">
        <is>
          <t>2026-01-26</t>
        </is>
      </c>
      <c r="J149" s="459" t="inlineStr">
        <is>
          <t>M-케어 건강보험(3.10.5 간편고지, 갱신형) 무배당</t>
        </is>
      </c>
      <c r="K149" s="459" t="inlineStr">
        <is>
          <t>101,522원</t>
        </is>
      </c>
      <c r="L149" s="459" t="n">
        <v>101522</v>
      </c>
      <c r="M149" s="459" t="inlineStr">
        <is>
          <t>세기조절방사선치료비</t>
        </is>
      </c>
    </row>
    <row r="150">
      <c r="A150" s="459" t="inlineStr">
        <is>
          <t>10</t>
        </is>
      </c>
      <c r="B150" s="459" t="inlineStr">
        <is>
          <t>정액</t>
        </is>
      </c>
      <c r="C150" s="459" t="inlineStr">
        <is>
          <t>항암 양성자방사선치료특약(3.10.5 간편고지,</t>
        </is>
      </c>
      <c r="D150" s="459" t="inlineStr">
        <is>
          <t>갱신형) 최초계약 고액항암치료비</t>
        </is>
      </c>
      <c r="E150" s="459" t="inlineStr">
        <is>
          <t>2,000만</t>
        </is>
      </c>
      <c r="F150" s="459" t="n">
        <v>12</v>
      </c>
      <c r="G150" s="459" t="n">
        <v>20000000</v>
      </c>
      <c r="H150" s="459" t="inlineStr">
        <is>
          <t>서상웅 님의 상품별 가입담보상세 2026-05-14 10:32:45 (55세 ,남자) ※ 기준담보/권장금액 : 기본형(37개)/표준형 미래에셋생명</t>
        </is>
      </c>
      <c r="I150" s="459" t="inlineStr">
        <is>
          <t>2026-01-26</t>
        </is>
      </c>
      <c r="J150" s="459" t="inlineStr">
        <is>
          <t>M-케어 건강보험(3.10.5 간편고지, 갱신형) 무배당</t>
        </is>
      </c>
      <c r="K150" s="459" t="inlineStr">
        <is>
          <t>101,522원</t>
        </is>
      </c>
      <c r="L150" s="459" t="n">
        <v>101522</v>
      </c>
      <c r="M150" s="459" t="inlineStr">
        <is>
          <t>양성자치료비</t>
        </is>
      </c>
    </row>
    <row r="151">
      <c r="A151" s="459" t="inlineStr">
        <is>
          <t>11</t>
        </is>
      </c>
      <c r="B151" s="459" t="inlineStr">
        <is>
          <t>정액</t>
        </is>
      </c>
      <c r="C151" s="459" t="inlineStr">
        <is>
          <t>항암 정위방사선치료특약(3.10.5 간편고지,</t>
        </is>
      </c>
      <c r="D151" s="459" t="inlineStr">
        <is>
          <t>갱신형) 최초계약 고액항암치료비</t>
        </is>
      </c>
      <c r="E151" s="459" t="inlineStr">
        <is>
          <t>2,000만</t>
        </is>
      </c>
      <c r="F151" s="459" t="n">
        <v>12</v>
      </c>
      <c r="G151" s="459" t="n">
        <v>20000000</v>
      </c>
      <c r="H151" s="459" t="inlineStr">
        <is>
          <t>서상웅 님의 상품별 가입담보상세 2026-05-14 10:32:45 (55세 ,남자) ※ 기준담보/권장금액 : 기본형(37개)/표준형 미래에셋생명</t>
        </is>
      </c>
      <c r="I151" s="459" t="inlineStr">
        <is>
          <t>2026-01-26</t>
        </is>
      </c>
      <c r="J151" s="459" t="inlineStr">
        <is>
          <t>M-케어 건강보험(3.10.5 간편고지, 갱신형) 무배당</t>
        </is>
      </c>
      <c r="K151" s="459" t="inlineStr">
        <is>
          <t>101,522원</t>
        </is>
      </c>
      <c r="L151" s="459" t="n">
        <v>101522</v>
      </c>
      <c r="M151" s="459" t="inlineStr">
        <is>
          <t>미분류</t>
        </is>
      </c>
    </row>
    <row r="152">
      <c r="A152" s="459" t="inlineStr">
        <is>
          <t>12</t>
        </is>
      </c>
      <c r="B152" s="459" t="inlineStr">
        <is>
          <t>정액</t>
        </is>
      </c>
      <c r="C152" s="459" t="inlineStr">
        <is>
          <t>항암 중입자방사선치료특약(3.10.5 간편고지,</t>
        </is>
      </c>
      <c r="D152" s="459" t="inlineStr">
        <is>
          <t>갱신형) 최초계약 고액항암치료비</t>
        </is>
      </c>
      <c r="E152" s="459" t="inlineStr">
        <is>
          <t>5,000만</t>
        </is>
      </c>
      <c r="F152" s="459" t="n">
        <v>12</v>
      </c>
      <c r="G152" s="459" t="n">
        <v>50000000</v>
      </c>
      <c r="H152" s="459" t="inlineStr">
        <is>
          <t>서상웅 님의 상품별 가입담보상세 2026-05-14 10:32:45 (55세 ,남자) ※ 기준담보/권장금액 : 기본형(37개)/표준형 미래에셋생명</t>
        </is>
      </c>
      <c r="I152" s="459" t="inlineStr">
        <is>
          <t>2026-01-26</t>
        </is>
      </c>
      <c r="J152" s="459" t="inlineStr">
        <is>
          <t>M-케어 건강보험(3.10.5 간편고지, 갱신형) 무배당</t>
        </is>
      </c>
      <c r="K152" s="459" t="inlineStr">
        <is>
          <t>101,522원</t>
        </is>
      </c>
      <c r="L152" s="459" t="n">
        <v>101522</v>
      </c>
      <c r="M152" s="459" t="inlineStr">
        <is>
          <t>중입자치료비</t>
        </is>
      </c>
    </row>
    <row r="153">
      <c r="A153" s="459" t="inlineStr">
        <is>
          <t>1</t>
        </is>
      </c>
      <c r="B153" s="459" t="inlineStr">
        <is>
          <t>정액</t>
        </is>
      </c>
      <c r="C153" s="459" t="inlineStr">
        <is>
          <t>특정질병사망</t>
        </is>
      </c>
      <c r="D153" s="459" t="inlineStr">
        <is>
          <t>특정질병사망</t>
        </is>
      </c>
      <c r="E153" s="459" t="inlineStr">
        <is>
          <t>6,100만</t>
        </is>
      </c>
      <c r="F153" s="459" t="n">
        <v>13</v>
      </c>
      <c r="G153" s="459" t="n">
        <v>61000000</v>
      </c>
      <c r="H153" s="459" t="inlineStr">
        <is>
          <t>서상웅 님의 상품별 가입담보상세 2026-05-14 10:32:45 (55세 ,남자) ※ 기준담보/권장금액 : 기본형(37개)/표준형 NH농협생명</t>
        </is>
      </c>
      <c r="I153" s="459" t="inlineStr">
        <is>
          <t>2025-08-29</t>
        </is>
      </c>
      <c r="J153" s="459" t="inlineStr"/>
      <c r="K153" s="459" t="inlineStr">
        <is>
          <t>96,500원</t>
        </is>
      </c>
      <c r="L153" s="459" t="n">
        <v>96500</v>
      </c>
      <c r="M153" s="459" t="inlineStr">
        <is>
          <t>미분류</t>
        </is>
      </c>
    </row>
    <row r="154">
      <c r="A154" s="459" t="inlineStr">
        <is>
          <t>2</t>
        </is>
      </c>
      <c r="B154" s="459" t="inlineStr">
        <is>
          <t>정액</t>
        </is>
      </c>
      <c r="C154" s="459" t="inlineStr">
        <is>
          <t>특정상해사망</t>
        </is>
      </c>
      <c r="D154" s="459" t="inlineStr">
        <is>
          <t>특정상해사망</t>
        </is>
      </c>
      <c r="E154" s="459" t="inlineStr">
        <is>
          <t>6,100만</t>
        </is>
      </c>
      <c r="F154" s="459" t="n">
        <v>13</v>
      </c>
      <c r="G154" s="459" t="n">
        <v>61000000</v>
      </c>
      <c r="H154" s="459" t="inlineStr">
        <is>
          <t>서상웅 님의 상품별 가입담보상세 2026-05-14 10:32:45 (55세 ,남자) ※ 기준담보/권장금액 : 기본형(37개)/표준형 NH농협생명</t>
        </is>
      </c>
      <c r="I154" s="459" t="inlineStr">
        <is>
          <t>2025-08-29</t>
        </is>
      </c>
      <c r="J154" s="459" t="inlineStr"/>
      <c r="K154" s="459" t="inlineStr">
        <is>
          <t>96,500원</t>
        </is>
      </c>
      <c r="L154" s="459" t="n">
        <v>96500</v>
      </c>
      <c r="M154" s="459" t="inlineStr">
        <is>
          <t>상해사망</t>
        </is>
      </c>
    </row>
    <row r="155">
      <c r="A155" s="459" t="inlineStr">
        <is>
          <t>3</t>
        </is>
      </c>
      <c r="B155" s="459" t="inlineStr">
        <is>
          <t>정액</t>
        </is>
      </c>
      <c r="C155" s="459" t="inlineStr">
        <is>
          <t>특정질병후유장해</t>
        </is>
      </c>
      <c r="D155" s="459" t="inlineStr">
        <is>
          <t>특정질병후유장해</t>
        </is>
      </c>
      <c r="E155" s="459" t="inlineStr">
        <is>
          <t>6,000만</t>
        </is>
      </c>
      <c r="F155" s="459" t="n">
        <v>13</v>
      </c>
      <c r="G155" s="459" t="n">
        <v>60000000</v>
      </c>
      <c r="H155" s="459" t="inlineStr">
        <is>
          <t>서상웅 님의 상품별 가입담보상세 2026-05-14 10:32:45 (55세 ,남자) ※ 기준담보/권장금액 : 기본형(37개)/표준형 NH농협생명</t>
        </is>
      </c>
      <c r="I155" s="459" t="inlineStr">
        <is>
          <t>2025-08-29</t>
        </is>
      </c>
      <c r="J155" s="459" t="inlineStr"/>
      <c r="K155" s="459" t="inlineStr">
        <is>
          <t>96,500원</t>
        </is>
      </c>
      <c r="L155" s="459" t="n">
        <v>96500</v>
      </c>
      <c r="M155" s="459" t="inlineStr">
        <is>
          <t>후유장해</t>
        </is>
      </c>
    </row>
    <row r="156">
      <c r="A156" s="459" t="inlineStr">
        <is>
          <t>4</t>
        </is>
      </c>
      <c r="B156" s="459" t="inlineStr">
        <is>
          <t>정액</t>
        </is>
      </c>
      <c r="C156" s="459" t="inlineStr">
        <is>
          <t>특정상해후유장해</t>
        </is>
      </c>
      <c r="D156" s="459" t="inlineStr">
        <is>
          <t>특정상해후유장해</t>
        </is>
      </c>
      <c r="E156" s="459" t="inlineStr">
        <is>
          <t>6,000만</t>
        </is>
      </c>
      <c r="F156" s="459" t="n">
        <v>13</v>
      </c>
      <c r="G156" s="459" t="n">
        <v>60000000</v>
      </c>
      <c r="H156" s="459" t="inlineStr">
        <is>
          <t>서상웅 님의 상품별 가입담보상세 2026-05-14 10:32:45 (55세 ,남자) ※ 기준담보/권장금액 : 기본형(37개)/표준형 NH농협생명</t>
        </is>
      </c>
      <c r="I156" s="459" t="inlineStr">
        <is>
          <t>2025-08-29</t>
        </is>
      </c>
      <c r="J156" s="459" t="inlineStr"/>
      <c r="K156" s="459" t="inlineStr">
        <is>
          <t>96,500원</t>
        </is>
      </c>
      <c r="L156" s="459" t="n">
        <v>96500</v>
      </c>
      <c r="M156" s="459" t="inlineStr">
        <is>
          <t>후유장해</t>
        </is>
      </c>
    </row>
    <row r="157">
      <c r="A157" s="459" t="inlineStr">
        <is>
          <t>5</t>
        </is>
      </c>
      <c r="B157" s="459" t="inlineStr">
        <is>
          <t>정액</t>
        </is>
      </c>
      <c r="C157" s="459" t="inlineStr">
        <is>
          <t>특정질병진단</t>
        </is>
      </c>
      <c r="D157" s="459" t="inlineStr">
        <is>
          <t>특정질병진단</t>
        </is>
      </c>
      <c r="E157" s="459" t="inlineStr">
        <is>
          <t>30만</t>
        </is>
      </c>
      <c r="F157" s="459" t="n">
        <v>13</v>
      </c>
      <c r="G157" s="459" t="n">
        <v>300000</v>
      </c>
      <c r="H157" s="459" t="inlineStr">
        <is>
          <t>서상웅 님의 상품별 가입담보상세 2026-05-14 10:32:45 (55세 ,남자) ※ 기준담보/권장금액 : 기본형(37개)/표준형 NH농협생명</t>
        </is>
      </c>
      <c r="I157" s="459" t="inlineStr">
        <is>
          <t>2025-08-29</t>
        </is>
      </c>
      <c r="J157" s="459" t="inlineStr"/>
      <c r="K157" s="459" t="inlineStr">
        <is>
          <t>96,500원</t>
        </is>
      </c>
      <c r="L157" s="459" t="n">
        <v>96500</v>
      </c>
      <c r="M157" s="459" t="inlineStr">
        <is>
          <t>미분류</t>
        </is>
      </c>
    </row>
    <row r="158">
      <c r="A158" s="459" t="inlineStr">
        <is>
          <t>6</t>
        </is>
      </c>
      <c r="B158" s="459" t="inlineStr">
        <is>
          <t>정액</t>
        </is>
      </c>
      <c r="C158" s="459" t="inlineStr">
        <is>
          <t>특정상해진단</t>
        </is>
      </c>
      <c r="D158" s="459" t="inlineStr">
        <is>
          <t>특정상해진단</t>
        </is>
      </c>
      <c r="E158" s="459" t="inlineStr">
        <is>
          <t>30만</t>
        </is>
      </c>
      <c r="F158" s="459" t="n">
        <v>13</v>
      </c>
      <c r="G158" s="459" t="n">
        <v>300000</v>
      </c>
      <c r="H158" s="459" t="inlineStr">
        <is>
          <t>서상웅 님의 상품별 가입담보상세 2026-05-14 10:32:45 (55세 ,남자) ※ 기준담보/권장금액 : 기본형(37개)/표준형 NH농협생명</t>
        </is>
      </c>
      <c r="I158" s="459" t="inlineStr">
        <is>
          <t>2025-08-29</t>
        </is>
      </c>
      <c r="J158" s="459" t="inlineStr"/>
      <c r="K158" s="459" t="inlineStr">
        <is>
          <t>96,500원</t>
        </is>
      </c>
      <c r="L158" s="459" t="n">
        <v>96500</v>
      </c>
      <c r="M158" s="459" t="inlineStr">
        <is>
          <t>미분류</t>
        </is>
      </c>
    </row>
    <row r="159">
      <c r="A159" s="459" t="inlineStr">
        <is>
          <t>7</t>
        </is>
      </c>
      <c r="B159" s="459" t="inlineStr">
        <is>
          <t>정액</t>
        </is>
      </c>
      <c r="C159" s="459" t="inlineStr">
        <is>
          <t>기타수술</t>
        </is>
      </c>
      <c r="D159" s="459" t="inlineStr">
        <is>
          <t>기타수술</t>
        </is>
      </c>
      <c r="E159" s="459" t="inlineStr">
        <is>
          <t>30만</t>
        </is>
      </c>
      <c r="F159" s="459" t="n">
        <v>13</v>
      </c>
      <c r="G159" s="459" t="n">
        <v>300000</v>
      </c>
      <c r="H159" s="459" t="inlineStr">
        <is>
          <t>서상웅 님의 상품별 가입담보상세 2026-05-14 10:32:45 (55세 ,남자) ※ 기준담보/권장금액 : 기본형(37개)/표준형 NH농협생명</t>
        </is>
      </c>
      <c r="I159" s="459" t="inlineStr">
        <is>
          <t>2025-08-29</t>
        </is>
      </c>
      <c r="J159" s="459" t="inlineStr"/>
      <c r="K159" s="459" t="inlineStr">
        <is>
          <t>96,500원</t>
        </is>
      </c>
      <c r="L159" s="459" t="n">
        <v>96500</v>
      </c>
      <c r="M159" s="459" t="inlineStr">
        <is>
          <t>미분류</t>
        </is>
      </c>
    </row>
    <row r="160">
      <c r="A160" s="459" t="inlineStr">
        <is>
          <t>8</t>
        </is>
      </c>
      <c r="B160" s="459" t="inlineStr">
        <is>
          <t>정액</t>
        </is>
      </c>
      <c r="C160" s="459" t="inlineStr">
        <is>
          <t>특정상해입원일당</t>
        </is>
      </c>
      <c r="D160" s="459" t="inlineStr">
        <is>
          <t>특정상해입원일당</t>
        </is>
      </c>
      <c r="E160" s="459" t="inlineStr">
        <is>
          <t>2만</t>
        </is>
      </c>
      <c r="F160" s="459" t="n">
        <v>13</v>
      </c>
      <c r="G160" s="459" t="n">
        <v>20000</v>
      </c>
      <c r="H160" s="459" t="inlineStr">
        <is>
          <t>서상웅 님의 상품별 가입담보상세 2026-05-14 10:32:45 (55세 ,남자) ※ 기준담보/권장금액 : 기본형(37개)/표준형 NH농협생명</t>
        </is>
      </c>
      <c r="I160" s="459" t="inlineStr">
        <is>
          <t>2025-08-29</t>
        </is>
      </c>
      <c r="J160" s="459" t="inlineStr"/>
      <c r="K160" s="459" t="inlineStr">
        <is>
          <t>96,500원</t>
        </is>
      </c>
      <c r="L160" s="459" t="n">
        <v>96500</v>
      </c>
      <c r="M160" s="459" t="inlineStr">
        <is>
          <t>상해입원일당</t>
        </is>
      </c>
    </row>
    <row r="161">
      <c r="A161" s="459" t="inlineStr">
        <is>
          <t>9</t>
        </is>
      </c>
      <c r="B161" s="459" t="inlineStr">
        <is>
          <t>정액</t>
        </is>
      </c>
      <c r="C161" s="459" t="inlineStr">
        <is>
          <t>기타입원일당</t>
        </is>
      </c>
      <c r="D161" s="459" t="inlineStr">
        <is>
          <t>기타입원일당</t>
        </is>
      </c>
      <c r="E161" s="459" t="inlineStr">
        <is>
          <t>2만</t>
        </is>
      </c>
      <c r="F161" s="459" t="n">
        <v>13</v>
      </c>
      <c r="G161" s="459" t="n">
        <v>20000</v>
      </c>
      <c r="H161" s="459" t="inlineStr">
        <is>
          <t>서상웅 님의 상품별 가입담보상세 2026-05-14 10:32:45 (55세 ,남자) ※ 기준담보/권장금액 : 기본형(37개)/표준형 NH농협생명</t>
        </is>
      </c>
      <c r="I161" s="459" t="inlineStr">
        <is>
          <t>2025-08-29</t>
        </is>
      </c>
      <c r="J161" s="459" t="inlineStr"/>
      <c r="K161" s="459" t="inlineStr">
        <is>
          <t>96,500원</t>
        </is>
      </c>
      <c r="L161" s="459" t="n">
        <v>96500</v>
      </c>
      <c r="M161" s="459" t="inlineStr">
        <is>
          <t>미분류</t>
        </is>
      </c>
    </row>
    <row r="162">
      <c r="A162" s="459" t="inlineStr">
        <is>
          <t>10</t>
        </is>
      </c>
      <c r="B162" s="459" t="inlineStr">
        <is>
          <t>실손</t>
        </is>
      </c>
      <c r="C162" s="459" t="inlineStr">
        <is>
          <t>농업작업안전</t>
        </is>
      </c>
      <c r="D162" s="459" t="inlineStr">
        <is>
          <t>재해 및 질병 농업작업안전 재해 및 질병입원의료비</t>
        </is>
      </c>
      <c r="E162" s="459" t="inlineStr">
        <is>
          <t>5,000만</t>
        </is>
      </c>
      <c r="F162" s="459" t="n">
        <v>13</v>
      </c>
      <c r="G162" s="459" t="n">
        <v>50000000</v>
      </c>
      <c r="H162" s="459" t="inlineStr">
        <is>
          <t>서상웅 님의 상품별 가입담보상세 2026-05-14 10:32:45 (55세 ,남자) ※ 기준담보/권장금액 : 기본형(37개)/표준형 NH농협생명</t>
        </is>
      </c>
      <c r="I162" s="459" t="inlineStr">
        <is>
          <t>2025-08-29</t>
        </is>
      </c>
      <c r="J162" s="459" t="inlineStr"/>
      <c r="K162" s="459" t="inlineStr">
        <is>
          <t>96,500원</t>
        </is>
      </c>
      <c r="L162" s="459" t="n">
        <v>96500</v>
      </c>
      <c r="M162" s="459" t="inlineStr">
        <is>
          <t>실손의료비</t>
        </is>
      </c>
    </row>
    <row r="163">
      <c r="A163" s="459" t="inlineStr">
        <is>
          <t>11</t>
        </is>
      </c>
      <c r="B163" s="459" t="inlineStr">
        <is>
          <t>실손</t>
        </is>
      </c>
      <c r="C163" s="459" t="inlineStr">
        <is>
          <t>농업작업안전</t>
        </is>
      </c>
      <c r="D163" s="459" t="inlineStr">
        <is>
          <t>재해 및 질병 농업작업안전 재해 및 질병처방조제료</t>
        </is>
      </c>
      <c r="E163" s="459" t="inlineStr">
        <is>
          <t>10만</t>
        </is>
      </c>
      <c r="F163" s="459" t="n">
        <v>13</v>
      </c>
      <c r="G163" s="459" t="n">
        <v>100000</v>
      </c>
      <c r="H163" s="459" t="inlineStr">
        <is>
          <t>서상웅 님의 상품별 가입담보상세 2026-05-14 10:32:45 (55세 ,남자) ※ 기준담보/권장금액 : 기본형(37개)/표준형 NH농협생명</t>
        </is>
      </c>
      <c r="I163" s="459" t="inlineStr">
        <is>
          <t>2025-08-29</t>
        </is>
      </c>
      <c r="J163" s="459" t="inlineStr"/>
      <c r="K163" s="459" t="inlineStr">
        <is>
          <t>96,500원</t>
        </is>
      </c>
      <c r="L163" s="459" t="n">
        <v>96500</v>
      </c>
      <c r="M163" s="459" t="inlineStr">
        <is>
          <t>실손의료비</t>
        </is>
      </c>
    </row>
    <row r="164">
      <c r="A164" s="459" t="inlineStr">
        <is>
          <t>12</t>
        </is>
      </c>
      <c r="B164" s="459" t="inlineStr">
        <is>
          <t>실손</t>
        </is>
      </c>
      <c r="C164" s="459" t="inlineStr">
        <is>
          <t>농업작업안전</t>
        </is>
      </c>
      <c r="D164" s="459" t="inlineStr">
        <is>
          <t>재해 및 질병 농업작업안전 재해 및 질병외래의료비</t>
        </is>
      </c>
      <c r="E164" s="459" t="inlineStr">
        <is>
          <t>20만</t>
        </is>
      </c>
      <c r="F164" s="459" t="n">
        <v>13</v>
      </c>
      <c r="G164" s="459" t="n">
        <v>200000</v>
      </c>
      <c r="H164" s="459" t="inlineStr">
        <is>
          <t>서상웅 님의 상품별 가입담보상세 2026-05-14 10:32:45 (55세 ,남자) ※ 기준담보/권장금액 : 기본형(37개)/표준형 NH농협생명</t>
        </is>
      </c>
      <c r="I164" s="459" t="inlineStr">
        <is>
          <t>2025-08-29</t>
        </is>
      </c>
      <c r="J164" s="459" t="inlineStr"/>
      <c r="K164" s="459" t="inlineStr">
        <is>
          <t>96,500원</t>
        </is>
      </c>
      <c r="L164" s="459" t="n">
        <v>96500</v>
      </c>
      <c r="M164" s="459" t="inlineStr">
        <is>
          <t>실손의료비</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14" customWidth="1" style="260" min="1" max="1"/>
    <col width="13" customWidth="1" style="260" min="2" max="2"/>
    <col width="13" customWidth="1" style="260" min="3" max="3"/>
    <col width="45" customWidth="1" style="260" min="4" max="4"/>
  </cols>
  <sheetData>
    <row r="1">
      <c r="A1" s="458" t="inlineStr">
        <is>
          <t>분류</t>
        </is>
      </c>
      <c r="B1" s="458" t="inlineStr">
        <is>
          <t>가입금액합계</t>
        </is>
      </c>
      <c r="C1" s="458" t="inlineStr">
        <is>
          <t>담보수</t>
        </is>
      </c>
      <c r="D1" s="458" t="inlineStr">
        <is>
          <t>대표담보</t>
        </is>
      </c>
    </row>
    <row r="2">
      <c r="A2" s="459" t="inlineStr">
        <is>
          <t>간병인 입원일당</t>
        </is>
      </c>
      <c r="B2" s="459" t="n">
        <v>300000</v>
      </c>
      <c r="C2" s="459" t="n">
        <v>2</v>
      </c>
      <c r="D2" s="459" t="inlineStr">
        <is>
          <t>[간편]상해 입원 간병인 사용일당(181일이상,요양/정신/한방제외) / [간편]질병 입원 간병인 사용일당(181일이상,요양/정신/한방제외,1년감액)</t>
        </is>
      </c>
    </row>
    <row r="3">
      <c r="A3" s="459" t="inlineStr">
        <is>
          <t>골절/화상</t>
        </is>
      </c>
      <c r="B3" s="459" t="n">
        <v>5600000</v>
      </c>
      <c r="C3" s="459" t="n">
        <v>14</v>
      </c>
      <c r="D3" s="459" t="inlineStr">
        <is>
          <t>골절진단비(치아파절제외) / 골절진단비(치아파절포함) / 5대골절진단비 / 골절철심제거수술비(급여,연간1회한) / 골절진단비(치아파절제외)(통합간편가입형)(갱신형_20년</t>
        </is>
      </c>
    </row>
    <row r="4">
      <c r="A4" s="459" t="inlineStr">
        <is>
          <t>뇌혈관 수술비</t>
        </is>
      </c>
      <c r="B4" s="459" t="n">
        <v>10000000</v>
      </c>
      <c r="C4" s="459" t="n">
        <v>1</v>
      </c>
      <c r="D4" s="459" t="inlineStr">
        <is>
          <t>뇌혈관질환수술비Ⅱ(통합간편가입형)(갱신형_20년)</t>
        </is>
      </c>
    </row>
    <row r="5">
      <c r="A5" s="459" t="inlineStr">
        <is>
          <t>뇌혈관 진단비</t>
        </is>
      </c>
      <c r="B5" s="459" t="n">
        <v>10000000</v>
      </c>
      <c r="C5" s="459" t="n">
        <v>1</v>
      </c>
      <c r="D5" s="459" t="inlineStr">
        <is>
          <t>뇌혈관질환진단비Ⅱ(통합간편가입형)(갱신형_20년)</t>
        </is>
      </c>
    </row>
    <row r="6">
      <c r="A6" s="459" t="inlineStr">
        <is>
          <t>미분류</t>
        </is>
      </c>
      <c r="B6" s="459" t="n">
        <v>318500000</v>
      </c>
      <c r="C6" s="459" t="n">
        <v>55</v>
      </c>
      <c r="D6" s="459" t="inlineStr">
        <is>
          <t>가전제품고장수리비용 / 깁스치료비 / 조혈모세포이식수술비 / 갑상선 바늘생검 조직병리 진단비(급여_연간1회한)(통합 / 대상포진눈병진단비(통합간편가입형)(갱신형_20년)</t>
        </is>
      </c>
    </row>
    <row r="7">
      <c r="A7" s="459" t="inlineStr">
        <is>
          <t>상해사망</t>
        </is>
      </c>
      <c r="B7" s="459" t="n">
        <v>224000000</v>
      </c>
      <c r="C7" s="459" t="n">
        <v>10</v>
      </c>
      <c r="D7" s="459" t="inlineStr">
        <is>
          <t>운전자용 / 일반상해사망 / 일반상해사망(통합간편가입형)(갱신형_20년) / [유병자형]상해 / [간편]상해</t>
        </is>
      </c>
    </row>
    <row r="8">
      <c r="A8" s="459" t="inlineStr">
        <is>
          <t>상해수술비</t>
        </is>
      </c>
      <c r="B8" s="459" t="n">
        <v>24130000</v>
      </c>
      <c r="C8" s="459" t="n">
        <v>6</v>
      </c>
      <c r="D8" s="459" t="inlineStr">
        <is>
          <t>외모특정상해수술비[기본계약] / 상해수술비 / 상해수술비 / 상해수술비(1~8종,연간1회한)(8종) / 5대골절수술비</t>
        </is>
      </c>
    </row>
    <row r="9">
      <c r="A9" s="459" t="inlineStr">
        <is>
          <t>상해입원일당</t>
        </is>
      </c>
      <c r="B9" s="459" t="n">
        <v>1120000</v>
      </c>
      <c r="C9" s="459" t="n">
        <v>14</v>
      </c>
      <c r="D9" s="459" t="inlineStr">
        <is>
          <t>상해입원비(1일-180일) / 교통상해입원비(1일-180일) / 종합병원상해입원비(1일-180일) / 일반상해입원비(1일-180일) / [간편]상해</t>
        </is>
      </c>
    </row>
    <row r="10">
      <c r="A10" s="459" t="inlineStr">
        <is>
          <t>세기조절방사선치료비</t>
        </is>
      </c>
      <c r="B10" s="459" t="n">
        <v>10000000</v>
      </c>
      <c r="C10" s="459" t="n">
        <v>1</v>
      </c>
      <c r="D10" s="459" t="inlineStr">
        <is>
          <t>항암 세기조절방사선치료특약(3.10.5 간편고지,</t>
        </is>
      </c>
    </row>
    <row r="11">
      <c r="A11" s="459" t="inlineStr">
        <is>
          <t>실손의료비</t>
        </is>
      </c>
      <c r="B11" s="459" t="n">
        <v>150900000</v>
      </c>
      <c r="C11" s="459" t="n">
        <v>9</v>
      </c>
      <c r="D11" s="459" t="inlineStr">
        <is>
          <t>상해(일반상해,전체상해를 의미) 상해(일반상해,전체상해를 / 상해(일반상해,전체상해를 의미) 상해(일반상해,전체상해를 / 상해(일반상해,전체상해를 의미) 상해(일반상해,전체상해를 / 질병(전체질병을 / 질병(전체질병을</t>
        </is>
      </c>
    </row>
    <row r="12">
      <c r="A12" s="459" t="inlineStr">
        <is>
          <t>양성자치료비</t>
        </is>
      </c>
      <c r="B12" s="459" t="n">
        <v>20000000</v>
      </c>
      <c r="C12" s="459" t="n">
        <v>1</v>
      </c>
      <c r="D12" s="459" t="inlineStr">
        <is>
          <t>항암 양성자방사선치료특약(3.10.5 간편고지,</t>
        </is>
      </c>
    </row>
    <row r="13">
      <c r="A13" s="459" t="inlineStr">
        <is>
          <t>운전자 담보</t>
        </is>
      </c>
      <c r="B13" s="459" t="n">
        <v>372300000</v>
      </c>
      <c r="C13" s="459" t="n">
        <v>13</v>
      </c>
      <c r="D13" s="459" t="inlineStr">
        <is>
          <t>화재벌금담보 / 자동차사고부상Ⅱ(1~3급) / 자동차사고부상Ⅱ(1~7급) / 교통사고 / 자동차사고</t>
        </is>
      </c>
    </row>
    <row r="14">
      <c r="A14" s="459" t="inlineStr">
        <is>
          <t>일반암 진단비</t>
        </is>
      </c>
      <c r="B14" s="459" t="n">
        <v>171000000</v>
      </c>
      <c r="C14" s="459" t="n">
        <v>11</v>
      </c>
      <c r="D14" s="459" t="inlineStr">
        <is>
          <t>암진단비(유사암제외)(통합간편가입형)(갱신형_20년) / 유사암진단비(통합간편가입형)(갱신형_20년) / 암주요치료비Ⅱ(유사암제외)_암수술비(연간1회한)(통합간 / 암주요치료비Ⅱ(유사암제외)_암중환자실치료비(종합병원)( / 암주요치료비Ⅱ(유사암제외)_항암방사선치료비(연간1회한)</t>
        </is>
      </c>
    </row>
    <row r="15">
      <c r="A15" s="459" t="inlineStr">
        <is>
          <t>중입자치료비</t>
        </is>
      </c>
      <c r="B15" s="459" t="n">
        <v>50000000</v>
      </c>
      <c r="C15" s="459" t="n">
        <v>1</v>
      </c>
      <c r="D15" s="459" t="inlineStr">
        <is>
          <t>항암 중입자방사선치료특약(3.10.5 간편고지,</t>
        </is>
      </c>
    </row>
    <row r="16">
      <c r="A16" s="459" t="inlineStr">
        <is>
          <t>질병수술비</t>
        </is>
      </c>
      <c r="B16" s="459" t="n">
        <v>2100000</v>
      </c>
      <c r="C16" s="459" t="n">
        <v>3</v>
      </c>
      <c r="D16" s="459" t="inlineStr">
        <is>
          <t>다빈치로봇 / 심장부정맥 고주파·냉각절제술(급여_연간1회한)(통합간편 / 질병수술특약(간편고지형(0),</t>
        </is>
      </c>
    </row>
    <row r="17">
      <c r="A17" s="459" t="inlineStr">
        <is>
          <t>질병입원일당</t>
        </is>
      </c>
      <c r="B17" s="459" t="n">
        <v>970000</v>
      </c>
      <c r="C17" s="459" t="n">
        <v>8</v>
      </c>
      <c r="D17" s="459" t="inlineStr">
        <is>
          <t>질병입원비(1일-180일) / [간편]질병 종합병원 입원일당(1일이상)(1년50%) / [간편]질병 입원 간병인 사용일당(1일이상)(요양병원 제외)(1년50%) / [간편]상급종합병원 1인실 입원일당(1일이상, 30일한도)(1년50%) / [간편]상급종합병원 2~3인실 입원일당(1일이상, 30일한도)(1년50%)</t>
        </is>
      </c>
    </row>
    <row r="18">
      <c r="A18" s="459" t="inlineStr">
        <is>
          <t>항암방사선치료비</t>
        </is>
      </c>
      <c r="B18" s="459" t="n">
        <v>23000000</v>
      </c>
      <c r="C18" s="459" t="n">
        <v>3</v>
      </c>
      <c r="D18" s="459" t="inlineStr">
        <is>
          <t>항암방사선치료특약(3.10.5 간편고지, / 항암약물치료특약(3.10.5 간편고지, / 항암호르몬약물치료비특약(연간1회한)(3.10.5 간편고지,</t>
        </is>
      </c>
    </row>
    <row r="19">
      <c r="A19" s="459" t="inlineStr">
        <is>
          <t>항암약물치료비</t>
        </is>
      </c>
      <c r="B19" s="459" t="n">
        <v>100000000</v>
      </c>
      <c r="C19" s="459" t="n">
        <v>2</v>
      </c>
      <c r="D19" s="459" t="inlineStr">
        <is>
          <t>특정면역항암약물허가치료특약(3.10.5 간편고지, / 표적항암약물허가치료특약(3.10.5 간편고지,</t>
        </is>
      </c>
    </row>
    <row r="20">
      <c r="A20" s="459" t="inlineStr">
        <is>
          <t>허혈성심장질환 수술비</t>
        </is>
      </c>
      <c r="B20" s="459" t="n">
        <v>10000000</v>
      </c>
      <c r="C20" s="459" t="n">
        <v>1</v>
      </c>
      <c r="D20" s="459" t="inlineStr">
        <is>
          <t>허혈성심질환수술비Ⅱ(통합간편가입형)(갱신형_20년)</t>
        </is>
      </c>
    </row>
    <row r="21">
      <c r="A21" s="459" t="inlineStr">
        <is>
          <t>허혈성심장질환 진단비</t>
        </is>
      </c>
      <c r="B21" s="459" t="n">
        <v>10000000</v>
      </c>
      <c r="C21" s="459" t="n">
        <v>1</v>
      </c>
      <c r="D21" s="459" t="inlineStr">
        <is>
          <t>허혈성심질환진단비Ⅱ(통합간편가입형)(갱신형_20년)</t>
        </is>
      </c>
    </row>
    <row r="22">
      <c r="A22" s="459" t="inlineStr">
        <is>
          <t>후유장해</t>
        </is>
      </c>
      <c r="B22" s="459" t="n">
        <v>340000000</v>
      </c>
      <c r="C22" s="459" t="n">
        <v>6</v>
      </c>
      <c r="D22" s="459" t="inlineStr">
        <is>
          <t>일반상해후유장해 / 일반상해후유장해 / 일반상해후유장해(3~100%) / 교통상해50%이상후유장해생활지원금(10년,월지급형) / 특정질병후유장해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사용자</dc:creator>
  <dcterms:created xmlns:dcterms="http://purl.org/dc/terms/" xmlns:xsi="http://www.w3.org/2001/XMLSchema-instance" xsi:type="dcterms:W3CDTF">2018-02-09T01:25:59Z</dcterms:created>
  <dcterms:modified xmlns:dcterms="http://purl.org/dc/terms/" xmlns:xsi="http://www.w3.org/2001/XMLSchema-instance" xsi:type="dcterms:W3CDTF">2026-05-15T01:57:24Z</dcterms:modified>
  <cp:lastModifiedBy>Home</cp:lastModifiedBy>
  <cp:version>1100.0100.01</cp:version>
  <cp:revision>82</cp:revision>
  <cp:lastPrinted>2026-03-03T04:24:13Z</cp:lastPrinted>
</cp:coreProperties>
</file>