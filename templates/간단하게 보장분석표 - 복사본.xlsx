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office_crm\templates\"/>
    </mc:Choice>
  </mc:AlternateContent>
  <xr:revisionPtr revIDLastSave="0" documentId="13_ncr:1_{7171584D-BDA8-41F6-8523-31E6CD476C27}" xr6:coauthVersionLast="47" xr6:coauthVersionMax="47" xr10:uidLastSave="{00000000-0000-0000-0000-000000000000}"/>
  <bookViews>
    <workbookView xWindow="3768" yWindow="3768" windowWidth="23040" windowHeight="13560" tabRatio="751" xr2:uid="{00000000-000D-0000-FFFF-FFFF00000000}"/>
  </bookViews>
  <sheets>
    <sheet name="보장분석 비교" sheetId="2" r:id="rId1"/>
  </sheets>
  <definedNames>
    <definedName name="_xlnm.Print_Area" localSheetId="0">'보장분석 비교'!$A$1:$O$68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2" l="1"/>
  <c r="G57" i="2"/>
  <c r="G51" i="2"/>
  <c r="K50" i="2"/>
  <c r="G50" i="2"/>
  <c r="K49" i="2"/>
  <c r="G49" i="2"/>
  <c r="K57" i="2"/>
  <c r="K17" i="2"/>
  <c r="G22" i="2"/>
  <c r="G17" i="2"/>
  <c r="K59" i="2" l="1"/>
  <c r="K56" i="2"/>
  <c r="K55" i="2"/>
  <c r="K54" i="2"/>
  <c r="K53" i="2"/>
  <c r="K52" i="2"/>
  <c r="K51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6" i="2"/>
  <c r="K15" i="2"/>
  <c r="K14" i="2"/>
  <c r="K13" i="2"/>
  <c r="K12" i="2"/>
  <c r="K11" i="2"/>
  <c r="K67" i="2" l="1"/>
  <c r="K63" i="2"/>
  <c r="G48" i="2" l="1"/>
  <c r="G47" i="2" l="1"/>
  <c r="G11" i="2" l="1"/>
  <c r="G12" i="2"/>
  <c r="G13" i="2"/>
  <c r="G14" i="2"/>
  <c r="G15" i="2"/>
  <c r="G16" i="2"/>
  <c r="G18" i="2"/>
  <c r="G19" i="2"/>
  <c r="G20" i="2"/>
  <c r="G21" i="2"/>
  <c r="G24" i="2"/>
  <c r="G25" i="2"/>
  <c r="G30" i="2"/>
  <c r="G26" i="2"/>
  <c r="G29" i="2"/>
  <c r="G28" i="2"/>
  <c r="G23" i="2"/>
  <c r="G27" i="2"/>
  <c r="G37" i="2"/>
  <c r="G38" i="2"/>
  <c r="G39" i="2"/>
  <c r="G40" i="2"/>
  <c r="G41" i="2"/>
  <c r="G42" i="2"/>
  <c r="G31" i="2"/>
  <c r="G32" i="2"/>
  <c r="G33" i="2"/>
  <c r="G34" i="2"/>
  <c r="G35" i="2"/>
  <c r="G36" i="2"/>
  <c r="G45" i="2"/>
  <c r="G46" i="2"/>
  <c r="G44" i="2"/>
  <c r="G43" i="2"/>
  <c r="G53" i="2"/>
  <c r="G52" i="2"/>
  <c r="G54" i="2"/>
  <c r="G55" i="2"/>
  <c r="G56" i="2"/>
  <c r="G67" i="2" l="1"/>
  <c r="H61" i="2"/>
  <c r="G63" i="2"/>
  <c r="G65" i="2"/>
  <c r="G61" i="2"/>
  <c r="K65" i="2" l="1"/>
  <c r="K61" i="2"/>
</calcChain>
</file>

<file path=xl/sharedStrings.xml><?xml version="1.0" encoding="utf-8"?>
<sst xmlns="http://schemas.openxmlformats.org/spreadsheetml/2006/main" count="69" uniqueCount="66">
  <si>
    <t>뇌졸중</t>
  </si>
  <si>
    <t>뇌출혈</t>
  </si>
  <si>
    <t>일반사망</t>
  </si>
  <si>
    <t>후유장해 5%</t>
  </si>
  <si>
    <t>상해사망</t>
  </si>
  <si>
    <t>재해사망</t>
  </si>
  <si>
    <t>실비</t>
    <phoneticPr fontId="5" type="noConversion"/>
  </si>
  <si>
    <t>암수술</t>
    <phoneticPr fontId="5" type="noConversion"/>
  </si>
  <si>
    <t>질병사망</t>
  </si>
  <si>
    <t>항암방사선·항암약물</t>
  </si>
  <si>
    <t>표적항암약물</t>
  </si>
  <si>
    <t>급성심근경색</t>
    <phoneticPr fontId="5" type="noConversion"/>
  </si>
  <si>
    <t>질병수술(ALL)</t>
    <phoneticPr fontId="5" type="noConversion"/>
  </si>
  <si>
    <t>상해수술(ALL)</t>
    <phoneticPr fontId="5" type="noConversion"/>
  </si>
  <si>
    <t>자동차사고부상</t>
    <phoneticPr fontId="5" type="noConversion"/>
  </si>
  <si>
    <t>일반암(유사암제외)</t>
    <phoneticPr fontId="5" type="noConversion"/>
  </si>
  <si>
    <t>만기</t>
    <phoneticPr fontId="5" type="noConversion"/>
  </si>
  <si>
    <t>유사암 / 소액암</t>
    <phoneticPr fontId="5" type="noConversion"/>
  </si>
  <si>
    <t>골절진단/수술</t>
  </si>
  <si>
    <t>골절진단/수술</t>
    <phoneticPr fontId="5" type="noConversion"/>
  </si>
  <si>
    <t>체외충격파쇄석술</t>
    <phoneticPr fontId="5" type="noConversion"/>
  </si>
  <si>
    <t>대장용종제거</t>
    <phoneticPr fontId="5" type="noConversion"/>
  </si>
  <si>
    <t>변호사선임비용</t>
    <phoneticPr fontId="5" type="noConversion"/>
  </si>
  <si>
    <t>부정맥(I49)</t>
    <phoneticPr fontId="5" type="noConversion"/>
  </si>
  <si>
    <t>심혈관(심부전, 기타)</t>
    <phoneticPr fontId="5" type="noConversion"/>
  </si>
  <si>
    <t>벌
금</t>
    <phoneticPr fontId="5" type="noConversion"/>
  </si>
  <si>
    <t>깁스치료비</t>
    <phoneticPr fontId="5" type="noConversion"/>
  </si>
  <si>
    <t>허혈심장 수술비</t>
    <phoneticPr fontId="5" type="noConversion"/>
  </si>
  <si>
    <t>허혈성심장질환 진단비</t>
    <phoneticPr fontId="5" type="noConversion"/>
  </si>
  <si>
    <t>뇌혈관 진단비</t>
    <phoneticPr fontId="5" type="noConversion"/>
  </si>
  <si>
    <t>뇌혈관 수술비</t>
    <phoneticPr fontId="5" type="noConversion"/>
  </si>
  <si>
    <t>골절진단비</t>
    <phoneticPr fontId="5" type="noConversion"/>
  </si>
  <si>
    <t>응급실 내원비</t>
    <phoneticPr fontId="5" type="noConversion"/>
  </si>
  <si>
    <t>상해 후유장해 3%</t>
    <phoneticPr fontId="5" type="noConversion"/>
  </si>
  <si>
    <t>화상진단비</t>
    <phoneticPr fontId="5" type="noConversion"/>
  </si>
  <si>
    <t>전/후 차이금액</t>
    <phoneticPr fontId="5" type="noConversion"/>
  </si>
  <si>
    <t>보험사</t>
    <phoneticPr fontId="5" type="noConversion"/>
  </si>
  <si>
    <t>상품명</t>
    <phoneticPr fontId="5" type="noConversion"/>
  </si>
  <si>
    <t>가입일자</t>
    <phoneticPr fontId="5" type="noConversion"/>
  </si>
  <si>
    <t>납입기간(년)</t>
    <phoneticPr fontId="5" type="noConversion"/>
  </si>
  <si>
    <t>일상배상책임보험</t>
    <phoneticPr fontId="5" type="noConversion"/>
  </si>
  <si>
    <t>질병 후유장해 3%</t>
    <phoneticPr fontId="5" type="noConversion"/>
  </si>
  <si>
    <t>상해 입원일당(1일이상)</t>
    <phoneticPr fontId="5" type="noConversion"/>
  </si>
  <si>
    <t>질병 입원일당(1일이상)</t>
    <phoneticPr fontId="5" type="noConversion"/>
  </si>
  <si>
    <t>대인</t>
    <phoneticPr fontId="5" type="noConversion"/>
  </si>
  <si>
    <t>대물</t>
    <phoneticPr fontId="5" type="noConversion"/>
  </si>
  <si>
    <t>사망/중상해</t>
    <phoneticPr fontId="5" type="noConversion"/>
  </si>
  <si>
    <t>6주미만</t>
    <phoneticPr fontId="5" type="noConversion"/>
  </si>
  <si>
    <t>상해 1-5종수술(1종)</t>
    <phoneticPr fontId="5" type="noConversion"/>
  </si>
  <si>
    <t>상해 1-5종수술(2종)</t>
    <phoneticPr fontId="5" type="noConversion"/>
  </si>
  <si>
    <t>상해 1-5종수술(3종)</t>
    <phoneticPr fontId="5" type="noConversion"/>
  </si>
  <si>
    <t>상해 1-5종수술(4종)</t>
    <phoneticPr fontId="5" type="noConversion"/>
  </si>
  <si>
    <t>상해 1-5종수술(5종)</t>
    <phoneticPr fontId="5" type="noConversion"/>
  </si>
  <si>
    <t>질병 1-5종수술(1종)</t>
    <phoneticPr fontId="5" type="noConversion"/>
  </si>
  <si>
    <t>질병 1-5종수술(2종)</t>
    <phoneticPr fontId="5" type="noConversion"/>
  </si>
  <si>
    <t>질병 1-5종수술(3종)</t>
    <phoneticPr fontId="5" type="noConversion"/>
  </si>
  <si>
    <t>질병 1-5종수술(4종)</t>
    <phoneticPr fontId="5" type="noConversion"/>
  </si>
  <si>
    <t>질병 1-5종수술(5종)</t>
    <phoneticPr fontId="5" type="noConversion"/>
  </si>
  <si>
    <t>세 님 보장 분석표 (리모델링)</t>
    <phoneticPr fontId="5" type="noConversion"/>
  </si>
  <si>
    <t>세 님 보장 분석표(기존)</t>
    <phoneticPr fontId="5" type="noConversion"/>
  </si>
  <si>
    <t>간병사용(상해)</t>
    <phoneticPr fontId="5" type="noConversion"/>
  </si>
  <si>
    <t>간병사용(질병)</t>
    <phoneticPr fontId="5" type="noConversion"/>
  </si>
  <si>
    <r>
      <t xml:space="preserve">리모델링 </t>
    </r>
    <r>
      <rPr>
        <sz val="14"/>
        <color rgb="FF0000FF"/>
        <rFont val="YD윤고딕 140"/>
        <family val="1"/>
        <charset val="129"/>
      </rPr>
      <t>전</t>
    </r>
    <phoneticPr fontId="5" type="noConversion"/>
  </si>
  <si>
    <r>
      <t xml:space="preserve">리모델링 </t>
    </r>
    <r>
      <rPr>
        <sz val="14"/>
        <color rgb="FFFF0000"/>
        <rFont val="YD윤고딕 140"/>
        <family val="1"/>
        <charset val="129"/>
      </rPr>
      <t>후</t>
    </r>
    <phoneticPr fontId="5" type="noConversion"/>
  </si>
  <si>
    <t>합
의</t>
    <phoneticPr fontId="5" type="noConversion"/>
  </si>
  <si>
    <t xml:space="preserve">원금융서비스     / FAX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</si>
</sst>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176" formatCode="&quot;₩&quot;#,##0_);[Red]\(&quot;₩&quot;#,##0\)"/>
    <numFmt numFmtId="177" formatCode="0&quot;년&quot;"/>
    <numFmt numFmtId="178" formatCode="0&quot;만원&quot;"/>
    <numFmt numFmtId="179" formatCode="#,##0&quot;만원&quot;"/>
    <numFmt numFmtId="180" formatCode="#,##0&quot;원&quot;"/>
    <numFmt numFmtId="181" formatCode="0&quot;세&quot;"/>
    <numFmt numFmtId="182" formatCode="mm&quot;월&quot;\ dd&quot;일&quot;"/>
  </numFmts>
  <fonts count="24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theme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헤드라인M"/>
      <family val="1"/>
      <charset val="129"/>
    </font>
    <font>
      <sz val="11"/>
      <color rgb="FF000000"/>
      <name val="HY헤드라인M"/>
      <family val="1"/>
      <charset val="129"/>
    </font>
    <font>
      <sz val="12"/>
      <color rgb="FF000000"/>
      <name val="HY헤드라인M"/>
      <family val="1"/>
      <charset val="129"/>
    </font>
    <font>
      <sz val="12"/>
      <color theme="0"/>
      <name val="HY헤드라인M"/>
      <family val="1"/>
      <charset val="129"/>
    </font>
    <font>
      <sz val="26"/>
      <color rgb="FF000000"/>
      <name val="HY헤드라인M"/>
      <family val="1"/>
      <charset val="129"/>
    </font>
    <font>
      <sz val="11"/>
      <color rgb="FF0000FF"/>
      <name val="HY헤드라인M"/>
      <family val="1"/>
      <charset val="129"/>
    </font>
    <font>
      <sz val="11"/>
      <color theme="0"/>
      <name val="HY헤드라인M"/>
      <family val="1"/>
      <charset val="129"/>
    </font>
    <font>
      <sz val="10"/>
      <color theme="0"/>
      <name val="HY헤드라인M"/>
      <family val="1"/>
      <charset val="129"/>
    </font>
    <font>
      <sz val="14"/>
      <color rgb="FF000000"/>
      <name val="YD윤고딕 140"/>
      <family val="1"/>
      <charset val="129"/>
    </font>
    <font>
      <sz val="14"/>
      <color rgb="FF0000FF"/>
      <name val="YD윤고딕 140"/>
      <family val="1"/>
      <charset val="129"/>
    </font>
    <font>
      <sz val="14"/>
      <color theme="1"/>
      <name val="YD윤고딕 140"/>
      <family val="1"/>
      <charset val="129"/>
    </font>
    <font>
      <sz val="14"/>
      <color rgb="FFFF0000"/>
      <name val="YD윤고딕 140"/>
      <family val="1"/>
      <charset val="129"/>
    </font>
    <font>
      <sz val="14"/>
      <color rgb="FF002060"/>
      <name val="YD윤고딕 140"/>
      <family val="1"/>
      <charset val="129"/>
    </font>
    <font>
      <sz val="14"/>
      <color theme="0"/>
      <name val="YD윤고딕 140"/>
      <family val="1"/>
      <charset val="129"/>
    </font>
    <font>
      <sz val="14"/>
      <name val="YD윤고딕 140"/>
      <family val="1"/>
      <charset val="129"/>
    </font>
  </fonts>
  <fills count="1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E727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theme="1" tint="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ck">
        <color theme="1" tint="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</borders>
  <cellStyleXfs count="9">
    <xf numFmtId="0" fontId="0" fillId="0" borderId="0">
      <alignment vertical="center"/>
    </xf>
    <xf numFmtId="41" fontId="4" fillId="0" borderId="0">
      <alignment vertical="center"/>
    </xf>
    <xf numFmtId="0" fontId="2" fillId="2" borderId="0">
      <alignment vertical="center"/>
    </xf>
    <xf numFmtId="0" fontId="3" fillId="3" borderId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9" fontId="7" fillId="0" borderId="52" applyFont="0" applyBorder="0">
      <alignment horizontal="center" vertical="center"/>
    </xf>
    <xf numFmtId="0" fontId="1" fillId="0" borderId="0">
      <alignment vertical="center"/>
    </xf>
    <xf numFmtId="41" fontId="4" fillId="0" borderId="0">
      <alignment vertical="center"/>
    </xf>
  </cellStyleXfs>
  <cellXfs count="260">
    <xf numFmtId="0" fontId="0" fillId="0" borderId="0" xfId="0">
      <alignment vertical="center"/>
    </xf>
    <xf numFmtId="0" fontId="11" fillId="0" borderId="0" xfId="0" applyFont="1">
      <alignment vertical="center"/>
    </xf>
    <xf numFmtId="41" fontId="11" fillId="0" borderId="0" xfId="1" applyFont="1">
      <alignment vertical="center"/>
    </xf>
    <xf numFmtId="182" fontId="11" fillId="0" borderId="0" xfId="0" applyNumberFormat="1" applyFont="1">
      <alignment vertical="center"/>
    </xf>
    <xf numFmtId="9" fontId="11" fillId="0" borderId="0" xfId="0" applyNumberFormat="1" applyFont="1">
      <alignment vertical="center"/>
    </xf>
    <xf numFmtId="41" fontId="11" fillId="0" borderId="0" xfId="0" applyNumberFormat="1" applyFont="1">
      <alignment vertical="center"/>
    </xf>
    <xf numFmtId="0" fontId="11" fillId="4" borderId="0" xfId="0" applyFont="1" applyFill="1">
      <alignment vertical="center"/>
    </xf>
    <xf numFmtId="0" fontId="11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4" borderId="0" xfId="0" applyFont="1" applyFill="1">
      <alignment vertical="center"/>
    </xf>
    <xf numFmtId="0" fontId="13" fillId="0" borderId="0" xfId="0" applyFont="1">
      <alignment vertical="center"/>
    </xf>
    <xf numFmtId="178" fontId="10" fillId="0" borderId="0" xfId="0" applyNumberFormat="1" applyFont="1">
      <alignment vertical="center"/>
    </xf>
    <xf numFmtId="176" fontId="10" fillId="0" borderId="0" xfId="0" applyNumberFormat="1" applyFont="1">
      <alignment vertical="center"/>
    </xf>
    <xf numFmtId="0" fontId="10" fillId="0" borderId="0" xfId="0" applyFont="1">
      <alignment vertical="center"/>
    </xf>
    <xf numFmtId="178" fontId="10" fillId="7" borderId="0" xfId="0" applyNumberFormat="1" applyFont="1" applyFill="1">
      <alignment vertical="center"/>
    </xf>
    <xf numFmtId="178" fontId="15" fillId="0" borderId="0" xfId="0" applyNumberFormat="1" applyFont="1">
      <alignment vertical="center"/>
    </xf>
    <xf numFmtId="14" fontId="10" fillId="0" borderId="0" xfId="0" applyNumberFormat="1" applyFont="1">
      <alignment vertical="center"/>
    </xf>
    <xf numFmtId="177" fontId="10" fillId="0" borderId="0" xfId="0" applyNumberFormat="1" applyFont="1">
      <alignment vertical="center"/>
    </xf>
    <xf numFmtId="0" fontId="16" fillId="12" borderId="80" xfId="7" applyFont="1" applyFill="1" applyBorder="1" applyAlignment="1">
      <alignment vertical="center" wrapText="1"/>
    </xf>
    <xf numFmtId="41" fontId="4" fillId="0" borderId="0" xfId="1">
      <alignment vertical="center"/>
    </xf>
    <xf numFmtId="0" fontId="16" fillId="12" borderId="84" xfId="7" applyFont="1" applyFill="1" applyBorder="1" applyAlignment="1">
      <alignment vertical="center" wrapText="1"/>
    </xf>
    <xf numFmtId="0" fontId="10" fillId="5" borderId="85" xfId="0" applyFont="1" applyFill="1" applyBorder="1" applyAlignment="1">
      <alignment horizontal="center" vertical="center"/>
    </xf>
    <xf numFmtId="14" fontId="10" fillId="0" borderId="87" xfId="0" applyNumberFormat="1" applyFont="1" applyBorder="1" applyAlignment="1">
      <alignment horizontal="center" vertical="center"/>
    </xf>
    <xf numFmtId="177" fontId="10" fillId="0" borderId="88" xfId="0" applyNumberFormat="1" applyFont="1" applyBorder="1" applyAlignment="1">
      <alignment horizontal="center" vertical="center"/>
    </xf>
    <xf numFmtId="181" fontId="10" fillId="0" borderId="88" xfId="0" applyNumberFormat="1" applyFont="1" applyBorder="1" applyAlignment="1">
      <alignment horizontal="center" vertical="center"/>
    </xf>
    <xf numFmtId="179" fontId="10" fillId="8" borderId="76" xfId="0" applyNumberFormat="1" applyFont="1" applyFill="1" applyBorder="1" applyAlignment="1">
      <alignment horizontal="center" vertical="center"/>
    </xf>
    <xf numFmtId="179" fontId="10" fillId="8" borderId="89" xfId="0" applyNumberFormat="1" applyFont="1" applyFill="1" applyBorder="1" applyAlignment="1">
      <alignment horizontal="center" vertical="center"/>
    </xf>
    <xf numFmtId="179" fontId="9" fillId="8" borderId="89" xfId="0" applyNumberFormat="1" applyFont="1" applyFill="1" applyBorder="1" applyAlignment="1">
      <alignment horizontal="center" vertical="center"/>
    </xf>
    <xf numFmtId="179" fontId="9" fillId="8" borderId="77" xfId="0" applyNumberFormat="1" applyFont="1" applyFill="1" applyBorder="1" applyAlignment="1">
      <alignment horizontal="center" vertical="center"/>
    </xf>
    <xf numFmtId="179" fontId="9" fillId="0" borderId="90" xfId="0" applyNumberFormat="1" applyFont="1" applyBorder="1" applyAlignment="1">
      <alignment horizontal="center" vertical="center"/>
    </xf>
    <xf numFmtId="179" fontId="9" fillId="0" borderId="77" xfId="0" applyNumberFormat="1" applyFont="1" applyBorder="1" applyAlignment="1">
      <alignment horizontal="center" vertical="center"/>
    </xf>
    <xf numFmtId="179" fontId="9" fillId="8" borderId="90" xfId="0" applyNumberFormat="1" applyFont="1" applyFill="1" applyBorder="1" applyAlignment="1">
      <alignment horizontal="center" vertical="center"/>
    </xf>
    <xf numFmtId="179" fontId="9" fillId="0" borderId="89" xfId="0" applyNumberFormat="1" applyFont="1" applyBorder="1" applyAlignment="1">
      <alignment horizontal="center" vertical="center"/>
    </xf>
    <xf numFmtId="179" fontId="9" fillId="8" borderId="18" xfId="0" applyNumberFormat="1" applyFont="1" applyFill="1" applyBorder="1" applyAlignment="1">
      <alignment horizontal="center" vertical="center"/>
    </xf>
    <xf numFmtId="179" fontId="9" fillId="0" borderId="53" xfId="0" applyNumberFormat="1" applyFont="1" applyBorder="1" applyAlignment="1">
      <alignment horizontal="center" vertical="center"/>
    </xf>
    <xf numFmtId="179" fontId="10" fillId="8" borderId="91" xfId="0" applyNumberFormat="1" applyFont="1" applyFill="1" applyBorder="1" applyAlignment="1">
      <alignment horizontal="center" vertical="center"/>
    </xf>
    <xf numFmtId="176" fontId="14" fillId="0" borderId="76" xfId="1" applyNumberFormat="1" applyFont="1" applyBorder="1" applyAlignment="1">
      <alignment horizontal="center" vertical="center"/>
    </xf>
    <xf numFmtId="0" fontId="11" fillId="12" borderId="18" xfId="0" applyFont="1" applyFill="1" applyBorder="1">
      <alignment vertical="center"/>
    </xf>
    <xf numFmtId="0" fontId="17" fillId="5" borderId="58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14" fontId="17" fillId="0" borderId="54" xfId="0" applyNumberFormat="1" applyFont="1" applyBorder="1" applyAlignment="1">
      <alignment horizontal="center" vertical="center"/>
    </xf>
    <xf numFmtId="14" fontId="17" fillId="0" borderId="38" xfId="0" applyNumberFormat="1" applyFont="1" applyBorder="1" applyAlignment="1">
      <alignment horizontal="center" vertical="center"/>
    </xf>
    <xf numFmtId="14" fontId="17" fillId="0" borderId="36" xfId="0" applyNumberFormat="1" applyFont="1" applyBorder="1" applyAlignment="1">
      <alignment horizontal="center" vertical="center"/>
    </xf>
    <xf numFmtId="14" fontId="21" fillId="5" borderId="39" xfId="0" applyNumberFormat="1" applyFont="1" applyFill="1" applyBorder="1" applyAlignment="1">
      <alignment horizontal="center" vertical="center" wrapText="1"/>
    </xf>
    <xf numFmtId="14" fontId="21" fillId="6" borderId="63" xfId="0" applyNumberFormat="1" applyFont="1" applyFill="1" applyBorder="1" applyAlignment="1">
      <alignment horizontal="center" vertical="center" wrapText="1"/>
    </xf>
    <xf numFmtId="177" fontId="17" fillId="0" borderId="34" xfId="0" applyNumberFormat="1" applyFont="1" applyBorder="1" applyAlignment="1">
      <alignment horizontal="center" vertical="center"/>
    </xf>
    <xf numFmtId="177" fontId="17" fillId="0" borderId="35" xfId="0" applyNumberFormat="1" applyFont="1" applyBorder="1" applyAlignment="1">
      <alignment horizontal="center" vertical="center"/>
    </xf>
    <xf numFmtId="177" fontId="17" fillId="0" borderId="37" xfId="0" applyNumberFormat="1" applyFont="1" applyBorder="1" applyAlignment="1">
      <alignment horizontal="center" vertical="center"/>
    </xf>
    <xf numFmtId="177" fontId="21" fillId="5" borderId="40" xfId="0" applyNumberFormat="1" applyFont="1" applyFill="1" applyBorder="1" applyAlignment="1">
      <alignment horizontal="center" vertical="center" wrapText="1"/>
    </xf>
    <xf numFmtId="177" fontId="21" fillId="6" borderId="62" xfId="0" applyNumberFormat="1" applyFont="1" applyFill="1" applyBorder="1" applyAlignment="1">
      <alignment horizontal="center" vertical="center" wrapText="1"/>
    </xf>
    <xf numFmtId="181" fontId="17" fillId="0" borderId="34" xfId="0" applyNumberFormat="1" applyFont="1" applyBorder="1" applyAlignment="1">
      <alignment horizontal="center" vertical="center"/>
    </xf>
    <xf numFmtId="181" fontId="17" fillId="0" borderId="35" xfId="0" applyNumberFormat="1" applyFont="1" applyBorder="1" applyAlignment="1">
      <alignment horizontal="center" vertical="center"/>
    </xf>
    <xf numFmtId="181" fontId="17" fillId="0" borderId="37" xfId="0" applyNumberFormat="1" applyFont="1" applyBorder="1" applyAlignment="1">
      <alignment horizontal="center" vertical="center"/>
    </xf>
    <xf numFmtId="179" fontId="17" fillId="8" borderId="43" xfId="0" applyNumberFormat="1" applyFont="1" applyFill="1" applyBorder="1" applyAlignment="1">
      <alignment horizontal="center" vertical="center"/>
    </xf>
    <xf numFmtId="179" fontId="17" fillId="8" borderId="33" xfId="0" applyNumberFormat="1" applyFont="1" applyFill="1" applyBorder="1" applyAlignment="1">
      <alignment horizontal="center" vertical="center"/>
    </xf>
    <xf numFmtId="179" fontId="17" fillId="8" borderId="44" xfId="0" applyNumberFormat="1" applyFont="1" applyFill="1" applyBorder="1" applyAlignment="1">
      <alignment horizontal="center" vertical="center"/>
    </xf>
    <xf numFmtId="179" fontId="17" fillId="8" borderId="74" xfId="0" applyNumberFormat="1" applyFont="1" applyFill="1" applyBorder="1" applyAlignment="1">
      <alignment horizontal="center" vertical="center"/>
    </xf>
    <xf numFmtId="179" fontId="22" fillId="9" borderId="24" xfId="0" applyNumberFormat="1" applyFont="1" applyFill="1" applyBorder="1" applyAlignment="1">
      <alignment horizontal="center" vertical="center" wrapText="1"/>
    </xf>
    <xf numFmtId="179" fontId="22" fillId="10" borderId="73" xfId="0" applyNumberFormat="1" applyFont="1" applyFill="1" applyBorder="1" applyAlignment="1">
      <alignment horizontal="center" vertical="center" wrapText="1"/>
    </xf>
    <xf numFmtId="179" fontId="19" fillId="8" borderId="44" xfId="0" applyNumberFormat="1" applyFont="1" applyFill="1" applyBorder="1" applyAlignment="1">
      <alignment horizontal="center" vertical="center"/>
    </xf>
    <xf numFmtId="179" fontId="19" fillId="8" borderId="43" xfId="0" applyNumberFormat="1" applyFont="1" applyFill="1" applyBorder="1" applyAlignment="1">
      <alignment horizontal="center" vertical="center"/>
    </xf>
    <xf numFmtId="179" fontId="17" fillId="8" borderId="1" xfId="0" applyNumberFormat="1" applyFont="1" applyFill="1" applyBorder="1" applyAlignment="1">
      <alignment horizontal="center" vertical="center"/>
    </xf>
    <xf numFmtId="179" fontId="17" fillId="8" borderId="66" xfId="0" applyNumberFormat="1" applyFont="1" applyFill="1" applyBorder="1" applyAlignment="1">
      <alignment horizontal="center" vertical="center"/>
    </xf>
    <xf numFmtId="179" fontId="23" fillId="5" borderId="10" xfId="0" applyNumberFormat="1" applyFont="1" applyFill="1" applyBorder="1" applyAlignment="1">
      <alignment horizontal="center" vertical="center" wrapText="1"/>
    </xf>
    <xf numFmtId="179" fontId="23" fillId="6" borderId="82" xfId="0" applyNumberFormat="1" applyFont="1" applyFill="1" applyBorder="1" applyAlignment="1">
      <alignment horizontal="center" vertical="center" wrapText="1"/>
    </xf>
    <xf numFmtId="179" fontId="19" fillId="8" borderId="1" xfId="0" applyNumberFormat="1" applyFont="1" applyFill="1" applyBorder="1" applyAlignment="1">
      <alignment horizontal="center" vertical="center"/>
    </xf>
    <xf numFmtId="179" fontId="19" fillId="8" borderId="66" xfId="0" applyNumberFormat="1" applyFont="1" applyFill="1" applyBorder="1" applyAlignment="1">
      <alignment horizontal="center" vertical="center"/>
    </xf>
    <xf numFmtId="179" fontId="19" fillId="8" borderId="2" xfId="0" applyNumberFormat="1" applyFont="1" applyFill="1" applyBorder="1" applyAlignment="1">
      <alignment horizontal="center" vertical="center"/>
    </xf>
    <xf numFmtId="179" fontId="17" fillId="8" borderId="2" xfId="0" applyNumberFormat="1" applyFont="1" applyFill="1" applyBorder="1" applyAlignment="1">
      <alignment horizontal="center" vertical="center"/>
    </xf>
    <xf numFmtId="179" fontId="17" fillId="8" borderId="79" xfId="0" applyNumberFormat="1" applyFont="1" applyFill="1" applyBorder="1" applyAlignment="1">
      <alignment horizontal="center" vertical="center"/>
    </xf>
    <xf numFmtId="179" fontId="23" fillId="5" borderId="5" xfId="0" applyNumberFormat="1" applyFont="1" applyFill="1" applyBorder="1" applyAlignment="1">
      <alignment horizontal="center" vertical="center" wrapText="1"/>
    </xf>
    <xf numFmtId="179" fontId="23" fillId="6" borderId="51" xfId="0" applyNumberFormat="1" applyFont="1" applyFill="1" applyBorder="1" applyAlignment="1">
      <alignment horizontal="center" vertical="center" wrapText="1"/>
    </xf>
    <xf numFmtId="179" fontId="19" fillId="8" borderId="79" xfId="0" applyNumberFormat="1" applyFont="1" applyFill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79" fontId="17" fillId="0" borderId="21" xfId="0" applyNumberFormat="1" applyFont="1" applyBorder="1" applyAlignment="1">
      <alignment horizontal="center" vertical="center"/>
    </xf>
    <xf numFmtId="179" fontId="17" fillId="0" borderId="71" xfId="0" applyNumberFormat="1" applyFont="1" applyBorder="1" applyAlignment="1">
      <alignment horizontal="center" vertical="center"/>
    </xf>
    <xf numFmtId="179" fontId="23" fillId="5" borderId="20" xfId="0" applyNumberFormat="1" applyFont="1" applyFill="1" applyBorder="1" applyAlignment="1">
      <alignment horizontal="center" vertical="center" wrapText="1"/>
    </xf>
    <xf numFmtId="179" fontId="23" fillId="6" borderId="83" xfId="0" applyNumberFormat="1" applyFont="1" applyFill="1" applyBorder="1" applyAlignment="1">
      <alignment horizontal="center" vertical="center" wrapText="1"/>
    </xf>
    <xf numFmtId="179" fontId="19" fillId="0" borderId="71" xfId="0" applyNumberFormat="1" applyFont="1" applyBorder="1" applyAlignment="1">
      <alignment horizontal="center" vertical="center"/>
    </xf>
    <xf numFmtId="179" fontId="19" fillId="0" borderId="2" xfId="0" applyNumberFormat="1" applyFont="1" applyBorder="1" applyAlignment="1">
      <alignment horizontal="center" vertical="center"/>
    </xf>
    <xf numFmtId="179" fontId="17" fillId="0" borderId="2" xfId="0" applyNumberFormat="1" applyFont="1" applyBorder="1" applyAlignment="1">
      <alignment horizontal="center" vertical="center"/>
    </xf>
    <xf numFmtId="179" fontId="17" fillId="0" borderId="79" xfId="0" applyNumberFormat="1" applyFont="1" applyBorder="1" applyAlignment="1">
      <alignment horizontal="center" vertical="center"/>
    </xf>
    <xf numFmtId="179" fontId="19" fillId="0" borderId="79" xfId="0" applyNumberFormat="1" applyFont="1" applyBorder="1" applyAlignment="1">
      <alignment horizontal="center" vertical="center"/>
    </xf>
    <xf numFmtId="179" fontId="19" fillId="8" borderId="21" xfId="0" applyNumberFormat="1" applyFont="1" applyFill="1" applyBorder="1" applyAlignment="1">
      <alignment horizontal="center" vertical="center"/>
    </xf>
    <xf numFmtId="179" fontId="23" fillId="8" borderId="21" xfId="0" applyNumberFormat="1" applyFont="1" applyFill="1" applyBorder="1" applyAlignment="1">
      <alignment horizontal="center" vertical="center"/>
    </xf>
    <xf numFmtId="179" fontId="17" fillId="8" borderId="21" xfId="0" applyNumberFormat="1" applyFont="1" applyFill="1" applyBorder="1" applyAlignment="1">
      <alignment horizontal="center" vertical="center"/>
    </xf>
    <xf numFmtId="179" fontId="23" fillId="8" borderId="71" xfId="0" applyNumberFormat="1" applyFont="1" applyFill="1" applyBorder="1" applyAlignment="1">
      <alignment horizontal="center" vertical="center"/>
    </xf>
    <xf numFmtId="179" fontId="22" fillId="9" borderId="20" xfId="0" applyNumberFormat="1" applyFont="1" applyFill="1" applyBorder="1" applyAlignment="1">
      <alignment horizontal="center" vertical="center" wrapText="1"/>
    </xf>
    <xf numFmtId="179" fontId="22" fillId="10" borderId="83" xfId="0" applyNumberFormat="1" applyFont="1" applyFill="1" applyBorder="1" applyAlignment="1">
      <alignment horizontal="center" vertical="center" wrapText="1"/>
    </xf>
    <xf numFmtId="179" fontId="19" fillId="8" borderId="71" xfId="0" applyNumberFormat="1" applyFont="1" applyFill="1" applyBorder="1" applyAlignment="1">
      <alignment horizontal="center" vertical="center"/>
    </xf>
    <xf numFmtId="179" fontId="23" fillId="8" borderId="1" xfId="0" applyNumberFormat="1" applyFont="1" applyFill="1" applyBorder="1" applyAlignment="1">
      <alignment horizontal="center" vertical="center"/>
    </xf>
    <xf numFmtId="179" fontId="23" fillId="8" borderId="66" xfId="0" applyNumberFormat="1" applyFont="1" applyFill="1" applyBorder="1" applyAlignment="1">
      <alignment horizontal="center" vertical="center"/>
    </xf>
    <xf numFmtId="179" fontId="23" fillId="8" borderId="2" xfId="0" applyNumberFormat="1" applyFont="1" applyFill="1" applyBorder="1" applyAlignment="1">
      <alignment horizontal="center" vertical="center"/>
    </xf>
    <xf numFmtId="179" fontId="23" fillId="8" borderId="79" xfId="0" applyNumberFormat="1" applyFont="1" applyFill="1" applyBorder="1" applyAlignment="1">
      <alignment horizontal="center" vertical="center"/>
    </xf>
    <xf numFmtId="179" fontId="19" fillId="0" borderId="1" xfId="0" applyNumberFormat="1" applyFont="1" applyBorder="1" applyAlignment="1">
      <alignment horizontal="center" vertical="center"/>
    </xf>
    <xf numFmtId="179" fontId="17" fillId="0" borderId="1" xfId="0" applyNumberFormat="1" applyFont="1" applyBorder="1" applyAlignment="1">
      <alignment horizontal="center" vertical="center"/>
    </xf>
    <xf numFmtId="179" fontId="17" fillId="0" borderId="66" xfId="0" applyNumberFormat="1" applyFont="1" applyBorder="1" applyAlignment="1">
      <alignment horizontal="center" vertical="center"/>
    </xf>
    <xf numFmtId="179" fontId="19" fillId="0" borderId="66" xfId="0" applyNumberFormat="1" applyFont="1" applyBorder="1" applyAlignment="1">
      <alignment horizontal="center" vertical="center"/>
    </xf>
    <xf numFmtId="179" fontId="17" fillId="8" borderId="71" xfId="0" applyNumberFormat="1" applyFont="1" applyFill="1" applyBorder="1" applyAlignment="1">
      <alignment horizontal="center" vertical="center"/>
    </xf>
    <xf numFmtId="179" fontId="19" fillId="5" borderId="10" xfId="0" applyNumberFormat="1" applyFont="1" applyFill="1" applyBorder="1" applyAlignment="1">
      <alignment horizontal="center" vertical="center" wrapText="1"/>
    </xf>
    <xf numFmtId="179" fontId="19" fillId="6" borderId="82" xfId="0" applyNumberFormat="1" applyFont="1" applyFill="1" applyBorder="1" applyAlignment="1">
      <alignment horizontal="center" vertical="center" wrapText="1"/>
    </xf>
    <xf numFmtId="179" fontId="19" fillId="5" borderId="5" xfId="0" applyNumberFormat="1" applyFont="1" applyFill="1" applyBorder="1" applyAlignment="1">
      <alignment horizontal="center" vertical="center" wrapText="1"/>
    </xf>
    <xf numFmtId="179" fontId="19" fillId="6" borderId="51" xfId="0" applyNumberFormat="1" applyFont="1" applyFill="1" applyBorder="1" applyAlignment="1">
      <alignment horizontal="center" vertical="center" wrapText="1"/>
    </xf>
    <xf numFmtId="179" fontId="17" fillId="8" borderId="13" xfId="0" applyNumberFormat="1" applyFont="1" applyFill="1" applyBorder="1" applyAlignment="1">
      <alignment horizontal="center" vertical="center"/>
    </xf>
    <xf numFmtId="179" fontId="17" fillId="8" borderId="19" xfId="0" applyNumberFormat="1" applyFont="1" applyFill="1" applyBorder="1" applyAlignment="1">
      <alignment horizontal="center" vertical="center"/>
    </xf>
    <xf numFmtId="179" fontId="17" fillId="8" borderId="14" xfId="0" applyNumberFormat="1" applyFont="1" applyFill="1" applyBorder="1" applyAlignment="1">
      <alignment horizontal="center" vertical="center"/>
    </xf>
    <xf numFmtId="179" fontId="17" fillId="8" borderId="70" xfId="0" applyNumberFormat="1" applyFont="1" applyFill="1" applyBorder="1" applyAlignment="1">
      <alignment horizontal="center" vertical="center"/>
    </xf>
    <xf numFmtId="179" fontId="23" fillId="5" borderId="6" xfId="0" applyNumberFormat="1" applyFont="1" applyFill="1" applyBorder="1" applyAlignment="1">
      <alignment horizontal="center" vertical="center" wrapText="1"/>
    </xf>
    <xf numFmtId="179" fontId="19" fillId="8" borderId="3" xfId="0" applyNumberFormat="1" applyFont="1" applyFill="1" applyBorder="1" applyAlignment="1">
      <alignment horizontal="center" vertical="center"/>
    </xf>
    <xf numFmtId="179" fontId="19" fillId="0" borderId="32" xfId="0" applyNumberFormat="1" applyFont="1" applyBorder="1" applyAlignment="1">
      <alignment horizontal="center" vertical="center"/>
    </xf>
    <xf numFmtId="179" fontId="17" fillId="0" borderId="32" xfId="0" applyNumberFormat="1" applyFont="1" applyBorder="1" applyAlignment="1">
      <alignment horizontal="center" vertical="center"/>
    </xf>
    <xf numFmtId="179" fontId="17" fillId="0" borderId="31" xfId="0" applyNumberFormat="1" applyFont="1" applyBorder="1" applyAlignment="1">
      <alignment horizontal="center" vertical="center"/>
    </xf>
    <xf numFmtId="179" fontId="17" fillId="0" borderId="42" xfId="0" applyNumberFormat="1" applyFont="1" applyBorder="1" applyAlignment="1">
      <alignment horizontal="center" vertical="center"/>
    </xf>
    <xf numFmtId="179" fontId="17" fillId="0" borderId="72" xfId="0" applyNumberFormat="1" applyFont="1" applyBorder="1" applyAlignment="1">
      <alignment horizontal="center" vertical="center"/>
    </xf>
    <xf numFmtId="179" fontId="23" fillId="5" borderId="49" xfId="0" applyNumberFormat="1" applyFont="1" applyFill="1" applyBorder="1" applyAlignment="1">
      <alignment horizontal="center" vertical="center" wrapText="1"/>
    </xf>
    <xf numFmtId="179" fontId="23" fillId="6" borderId="68" xfId="0" applyNumberFormat="1" applyFont="1" applyFill="1" applyBorder="1" applyAlignment="1">
      <alignment horizontal="center" vertical="center" wrapText="1"/>
    </xf>
    <xf numFmtId="179" fontId="19" fillId="0" borderId="42" xfId="0" applyNumberFormat="1" applyFont="1" applyBorder="1" applyAlignment="1">
      <alignment horizontal="center" vertical="center"/>
    </xf>
    <xf numFmtId="179" fontId="17" fillId="8" borderId="55" xfId="0" applyNumberFormat="1" applyFont="1" applyFill="1" applyBorder="1" applyAlignment="1">
      <alignment horizontal="center" vertical="center"/>
    </xf>
    <xf numFmtId="179" fontId="17" fillId="8" borderId="46" xfId="0" applyNumberFormat="1" applyFont="1" applyFill="1" applyBorder="1" applyAlignment="1">
      <alignment horizontal="center" vertical="center"/>
    </xf>
    <xf numFmtId="179" fontId="17" fillId="8" borderId="45" xfId="0" applyNumberFormat="1" applyFont="1" applyFill="1" applyBorder="1" applyAlignment="1">
      <alignment horizontal="center" vertical="center"/>
    </xf>
    <xf numFmtId="179" fontId="17" fillId="8" borderId="75" xfId="0" applyNumberFormat="1" applyFont="1" applyFill="1" applyBorder="1" applyAlignment="1">
      <alignment horizontal="center" vertical="center"/>
    </xf>
    <xf numFmtId="179" fontId="17" fillId="5" borderId="65" xfId="0" applyNumberFormat="1" applyFont="1" applyFill="1" applyBorder="1" applyAlignment="1">
      <alignment horizontal="center" vertical="center" wrapText="1"/>
    </xf>
    <xf numFmtId="179" fontId="17" fillId="6" borderId="65" xfId="0" applyNumberFormat="1" applyFont="1" applyFill="1" applyBorder="1" applyAlignment="1">
      <alignment horizontal="center" vertical="center" wrapText="1"/>
    </xf>
    <xf numFmtId="179" fontId="19" fillId="8" borderId="45" xfId="0" applyNumberFormat="1" applyFont="1" applyFill="1" applyBorder="1" applyAlignment="1">
      <alignment horizontal="center" vertical="center"/>
    </xf>
    <xf numFmtId="179" fontId="19" fillId="8" borderId="55" xfId="0" applyNumberFormat="1" applyFont="1" applyFill="1" applyBorder="1" applyAlignment="1">
      <alignment horizontal="center" vertical="center"/>
    </xf>
    <xf numFmtId="176" fontId="18" fillId="0" borderId="43" xfId="1" applyNumberFormat="1" applyFont="1" applyBorder="1" applyAlignment="1">
      <alignment horizontal="center" vertical="center"/>
    </xf>
    <xf numFmtId="176" fontId="18" fillId="0" borderId="33" xfId="1" applyNumberFormat="1" applyFont="1" applyBorder="1" applyAlignment="1">
      <alignment horizontal="center" vertical="center"/>
    </xf>
    <xf numFmtId="176" fontId="18" fillId="0" borderId="44" xfId="1" applyNumberFormat="1" applyFont="1" applyBorder="1" applyAlignment="1">
      <alignment horizontal="center" vertical="center"/>
    </xf>
    <xf numFmtId="176" fontId="18" fillId="5" borderId="24" xfId="1" applyNumberFormat="1" applyFont="1" applyFill="1" applyBorder="1" applyAlignment="1">
      <alignment horizontal="center" vertical="center" wrapText="1"/>
    </xf>
    <xf numFmtId="176" fontId="20" fillId="6" borderId="73" xfId="1" applyNumberFormat="1" applyFont="1" applyFill="1" applyBorder="1" applyAlignment="1">
      <alignment horizontal="center" vertical="center" wrapText="1"/>
    </xf>
    <xf numFmtId="176" fontId="20" fillId="0" borderId="44" xfId="1" applyNumberFormat="1" applyFont="1" applyBorder="1" applyAlignment="1">
      <alignment horizontal="center" vertical="center"/>
    </xf>
    <xf numFmtId="176" fontId="20" fillId="0" borderId="43" xfId="1" applyNumberFormat="1" applyFont="1" applyBorder="1" applyAlignment="1">
      <alignment horizontal="center" vertical="center"/>
    </xf>
    <xf numFmtId="178" fontId="17" fillId="5" borderId="47" xfId="0" applyNumberFormat="1" applyFont="1" applyFill="1" applyBorder="1" applyAlignment="1">
      <alignment horizontal="center" vertical="center" wrapText="1"/>
    </xf>
    <xf numFmtId="178" fontId="17" fillId="6" borderId="64" xfId="0" applyNumberFormat="1" applyFont="1" applyFill="1" applyBorder="1" applyAlignment="1">
      <alignment horizontal="center" vertical="center" wrapText="1"/>
    </xf>
    <xf numFmtId="178" fontId="17" fillId="5" borderId="5" xfId="0" applyNumberFormat="1" applyFont="1" applyFill="1" applyBorder="1" applyAlignment="1">
      <alignment horizontal="center" vertical="center" wrapText="1"/>
    </xf>
    <xf numFmtId="178" fontId="17" fillId="6" borderId="51" xfId="0" applyNumberFormat="1" applyFont="1" applyFill="1" applyBorder="1" applyAlignment="1">
      <alignment horizontal="center" vertical="center" wrapText="1"/>
    </xf>
    <xf numFmtId="178" fontId="17" fillId="5" borderId="4" xfId="0" applyNumberFormat="1" applyFont="1" applyFill="1" applyBorder="1" applyAlignment="1">
      <alignment horizontal="center" vertical="center" wrapText="1"/>
    </xf>
    <xf numFmtId="178" fontId="17" fillId="6" borderId="48" xfId="0" applyNumberFormat="1" applyFont="1" applyFill="1" applyBorder="1" applyAlignment="1">
      <alignment horizontal="center" vertical="center" wrapText="1"/>
    </xf>
    <xf numFmtId="178" fontId="17" fillId="5" borderId="6" xfId="0" applyNumberFormat="1" applyFont="1" applyFill="1" applyBorder="1" applyAlignment="1">
      <alignment horizontal="center" vertical="center" wrapText="1"/>
    </xf>
    <xf numFmtId="0" fontId="10" fillId="5" borderId="86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78" fontId="23" fillId="0" borderId="59" xfId="0" applyNumberFormat="1" applyFont="1" applyBorder="1" applyAlignment="1">
      <alignment horizontal="center" vertical="center" shrinkToFit="1"/>
    </xf>
    <xf numFmtId="178" fontId="23" fillId="0" borderId="21" xfId="0" applyNumberFormat="1" applyFont="1" applyBorder="1" applyAlignment="1">
      <alignment horizontal="center" vertical="center" shrinkToFit="1"/>
    </xf>
    <xf numFmtId="178" fontId="23" fillId="0" borderId="71" xfId="0" applyNumberFormat="1" applyFont="1" applyBorder="1" applyAlignment="1">
      <alignment horizontal="center" vertical="center" shrinkToFit="1"/>
    </xf>
    <xf numFmtId="178" fontId="23" fillId="0" borderId="57" xfId="0" applyNumberFormat="1" applyFont="1" applyBorder="1" applyAlignment="1">
      <alignment horizontal="center" vertical="center" shrinkToFit="1"/>
    </xf>
    <xf numFmtId="178" fontId="23" fillId="0" borderId="2" xfId="0" applyNumberFormat="1" applyFont="1" applyBorder="1" applyAlignment="1">
      <alignment horizontal="center" vertical="center" shrinkToFit="1"/>
    </xf>
    <xf numFmtId="178" fontId="23" fillId="0" borderId="79" xfId="0" applyNumberFormat="1" applyFont="1" applyBorder="1" applyAlignment="1">
      <alignment horizontal="center" vertical="center" shrinkToFit="1"/>
    </xf>
    <xf numFmtId="0" fontId="13" fillId="4" borderId="0" xfId="0" applyFont="1" applyFill="1" applyAlignment="1">
      <alignment horizontal="center" vertical="center"/>
    </xf>
    <xf numFmtId="0" fontId="10" fillId="0" borderId="7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 wrapText="1"/>
    </xf>
    <xf numFmtId="0" fontId="17" fillId="0" borderId="74" xfId="0" applyFont="1" applyBorder="1" applyAlignment="1">
      <alignment horizontal="center" vertical="center" wrapText="1"/>
    </xf>
    <xf numFmtId="0" fontId="17" fillId="0" borderId="81" xfId="0" applyFont="1" applyBorder="1" applyAlignment="1">
      <alignment horizontal="center" vertical="center" wrapText="1"/>
    </xf>
    <xf numFmtId="0" fontId="17" fillId="0" borderId="70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 shrinkToFit="1"/>
    </xf>
    <xf numFmtId="0" fontId="17" fillId="0" borderId="9" xfId="0" applyFont="1" applyBorder="1" applyAlignment="1">
      <alignment horizontal="center" vertical="center" wrapText="1" shrinkToFit="1"/>
    </xf>
    <xf numFmtId="0" fontId="17" fillId="0" borderId="13" xfId="0" applyFont="1" applyBorder="1" applyAlignment="1">
      <alignment horizontal="center" vertical="center" wrapText="1" shrinkToFit="1"/>
    </xf>
    <xf numFmtId="178" fontId="23" fillId="11" borderId="76" xfId="0" applyNumberFormat="1" applyFont="1" applyFill="1" applyBorder="1" applyAlignment="1">
      <alignment horizontal="center" vertical="center" shrinkToFit="1"/>
    </xf>
    <xf numFmtId="178" fontId="23" fillId="11" borderId="33" xfId="0" applyNumberFormat="1" applyFont="1" applyFill="1" applyBorder="1" applyAlignment="1">
      <alignment horizontal="center" vertical="center" shrinkToFit="1"/>
    </xf>
    <xf numFmtId="178" fontId="23" fillId="11" borderId="73" xfId="0" applyNumberFormat="1" applyFont="1" applyFill="1" applyBorder="1" applyAlignment="1">
      <alignment horizontal="center" vertical="center" shrinkToFit="1"/>
    </xf>
    <xf numFmtId="9" fontId="23" fillId="0" borderId="57" xfId="4" applyFont="1" applyBorder="1" applyAlignment="1">
      <alignment horizontal="center" vertical="center" shrinkToFit="1"/>
    </xf>
    <xf numFmtId="9" fontId="23" fillId="0" borderId="2" xfId="4" applyFont="1" applyBorder="1" applyAlignment="1">
      <alignment horizontal="center" vertical="center" shrinkToFit="1"/>
    </xf>
    <xf numFmtId="9" fontId="23" fillId="0" borderId="79" xfId="4" applyFont="1" applyBorder="1" applyAlignment="1">
      <alignment horizontal="center" vertical="center" shrinkToFit="1"/>
    </xf>
    <xf numFmtId="9" fontId="23" fillId="0" borderId="59" xfId="4" applyFont="1" applyBorder="1" applyAlignment="1">
      <alignment horizontal="center" vertical="center" shrinkToFit="1"/>
    </xf>
    <xf numFmtId="9" fontId="23" fillId="0" borderId="21" xfId="4" applyFont="1" applyBorder="1" applyAlignment="1">
      <alignment horizontal="center" vertical="center" shrinkToFit="1"/>
    </xf>
    <xf numFmtId="9" fontId="23" fillId="0" borderId="71" xfId="4" applyFont="1" applyBorder="1" applyAlignment="1">
      <alignment horizontal="center" vertical="center" shrinkToFit="1"/>
    </xf>
    <xf numFmtId="178" fontId="23" fillId="8" borderId="56" xfId="0" applyNumberFormat="1" applyFont="1" applyFill="1" applyBorder="1" applyAlignment="1">
      <alignment horizontal="center" vertical="center" shrinkToFit="1"/>
    </xf>
    <xf numFmtId="178" fontId="23" fillId="8" borderId="1" xfId="0" applyNumberFormat="1" applyFont="1" applyFill="1" applyBorder="1" applyAlignment="1">
      <alignment horizontal="center" vertical="center" shrinkToFit="1"/>
    </xf>
    <xf numFmtId="178" fontId="23" fillId="8" borderId="66" xfId="0" applyNumberFormat="1" applyFont="1" applyFill="1" applyBorder="1" applyAlignment="1">
      <alignment horizontal="center" vertical="center" shrinkToFit="1"/>
    </xf>
    <xf numFmtId="178" fontId="23" fillId="11" borderId="59" xfId="0" applyNumberFormat="1" applyFont="1" applyFill="1" applyBorder="1" applyAlignment="1">
      <alignment horizontal="center" vertical="center" shrinkToFit="1"/>
    </xf>
    <xf numFmtId="178" fontId="23" fillId="11" borderId="21" xfId="0" applyNumberFormat="1" applyFont="1" applyFill="1" applyBorder="1" applyAlignment="1">
      <alignment horizontal="center" vertical="center" shrinkToFit="1"/>
    </xf>
    <xf numFmtId="178" fontId="23" fillId="11" borderId="71" xfId="0" applyNumberFormat="1" applyFont="1" applyFill="1" applyBorder="1" applyAlignment="1">
      <alignment horizontal="center" vertical="center" shrinkToFit="1"/>
    </xf>
    <xf numFmtId="178" fontId="23" fillId="8" borderId="57" xfId="0" applyNumberFormat="1" applyFont="1" applyFill="1" applyBorder="1" applyAlignment="1">
      <alignment horizontal="center" vertical="center" shrinkToFit="1"/>
    </xf>
    <xf numFmtId="178" fontId="23" fillId="8" borderId="2" xfId="0" applyNumberFormat="1" applyFont="1" applyFill="1" applyBorder="1" applyAlignment="1">
      <alignment horizontal="center" vertical="center" shrinkToFit="1"/>
    </xf>
    <xf numFmtId="178" fontId="23" fillId="8" borderId="79" xfId="0" applyNumberFormat="1" applyFont="1" applyFill="1" applyBorder="1" applyAlignment="1">
      <alignment horizontal="center" vertical="center" shrinkToFit="1"/>
    </xf>
    <xf numFmtId="178" fontId="23" fillId="0" borderId="56" xfId="0" applyNumberFormat="1" applyFont="1" applyBorder="1" applyAlignment="1">
      <alignment horizontal="center" vertical="center" shrinkToFit="1"/>
    </xf>
    <xf numFmtId="178" fontId="23" fillId="0" borderId="1" xfId="0" applyNumberFormat="1" applyFont="1" applyBorder="1" applyAlignment="1">
      <alignment horizontal="center" vertical="center" shrinkToFit="1"/>
    </xf>
    <xf numFmtId="178" fontId="23" fillId="0" borderId="66" xfId="0" applyNumberFormat="1" applyFont="1" applyBorder="1" applyAlignment="1">
      <alignment horizontal="center" vertical="center" shrinkToFit="1"/>
    </xf>
    <xf numFmtId="178" fontId="19" fillId="8" borderId="56" xfId="0" applyNumberFormat="1" applyFont="1" applyFill="1" applyBorder="1" applyAlignment="1">
      <alignment horizontal="center" vertical="center" shrinkToFit="1"/>
    </xf>
    <xf numFmtId="178" fontId="19" fillId="8" borderId="1" xfId="0" applyNumberFormat="1" applyFont="1" applyFill="1" applyBorder="1" applyAlignment="1">
      <alignment horizontal="center" vertical="center" shrinkToFit="1"/>
    </xf>
    <xf numFmtId="178" fontId="19" fillId="8" borderId="66" xfId="0" applyNumberFormat="1" applyFont="1" applyFill="1" applyBorder="1" applyAlignment="1">
      <alignment horizontal="center" vertical="center" shrinkToFit="1"/>
    </xf>
    <xf numFmtId="0" fontId="17" fillId="4" borderId="53" xfId="0" applyFont="1" applyFill="1" applyBorder="1" applyAlignment="1">
      <alignment horizontal="center" vertical="center" shrinkToFit="1"/>
    </xf>
    <xf numFmtId="0" fontId="17" fillId="4" borderId="31" xfId="0" applyFont="1" applyFill="1" applyBorder="1" applyAlignment="1">
      <alignment horizontal="center" vertical="center" shrinkToFit="1"/>
    </xf>
    <xf numFmtId="0" fontId="17" fillId="4" borderId="49" xfId="0" applyFont="1" applyFill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17" fillId="4" borderId="41" xfId="0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 shrinkToFit="1"/>
    </xf>
    <xf numFmtId="0" fontId="17" fillId="4" borderId="19" xfId="0" applyFont="1" applyFill="1" applyBorder="1" applyAlignment="1">
      <alignment horizontal="center" vertical="center" shrinkToFit="1"/>
    </xf>
    <xf numFmtId="0" fontId="17" fillId="4" borderId="30" xfId="0" applyFont="1" applyFill="1" applyBorder="1" applyAlignment="1">
      <alignment horizontal="center" vertical="center" shrinkToFit="1"/>
    </xf>
    <xf numFmtId="0" fontId="17" fillId="6" borderId="16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center" vertical="center" wrapText="1"/>
    </xf>
    <xf numFmtId="0" fontId="17" fillId="5" borderId="23" xfId="2" applyFont="1" applyFill="1" applyBorder="1" applyAlignment="1">
      <alignment horizontal="center" vertical="center" wrapText="1"/>
    </xf>
    <xf numFmtId="0" fontId="17" fillId="5" borderId="8" xfId="2" applyFont="1" applyFill="1" applyBorder="1" applyAlignment="1">
      <alignment horizontal="center" vertical="center" wrapText="1"/>
    </xf>
    <xf numFmtId="0" fontId="17" fillId="5" borderId="6" xfId="2" applyFont="1" applyFill="1" applyBorder="1" applyAlignment="1">
      <alignment horizontal="center" vertical="center" wrapText="1"/>
    </xf>
    <xf numFmtId="0" fontId="17" fillId="6" borderId="49" xfId="2" applyFont="1" applyFill="1" applyBorder="1" applyAlignment="1">
      <alignment horizontal="center" vertical="center" wrapText="1"/>
    </xf>
    <xf numFmtId="0" fontId="17" fillId="6" borderId="41" xfId="2" applyFont="1" applyFill="1" applyBorder="1" applyAlignment="1">
      <alignment horizontal="center" vertical="center" wrapText="1"/>
    </xf>
    <xf numFmtId="0" fontId="17" fillId="6" borderId="30" xfId="2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70" xfId="0" applyFont="1" applyFill="1" applyBorder="1" applyAlignment="1">
      <alignment horizontal="center" vertical="center" wrapText="1"/>
    </xf>
    <xf numFmtId="0" fontId="19" fillId="11" borderId="29" xfId="3" applyFont="1" applyFill="1" applyBorder="1" applyAlignment="1">
      <alignment horizontal="center" vertical="center" wrapText="1"/>
    </xf>
    <xf numFmtId="0" fontId="19" fillId="11" borderId="50" xfId="3" applyFont="1" applyFill="1" applyBorder="1" applyAlignment="1">
      <alignment horizontal="center" vertical="center" wrapText="1"/>
    </xf>
    <xf numFmtId="0" fontId="19" fillId="11" borderId="19" xfId="3" applyFont="1" applyFill="1" applyBorder="1" applyAlignment="1">
      <alignment horizontal="center" vertical="center" wrapText="1"/>
    </xf>
    <xf numFmtId="0" fontId="19" fillId="11" borderId="30" xfId="3" applyFont="1" applyFill="1" applyBorder="1" applyAlignment="1">
      <alignment horizontal="center" vertical="center" wrapText="1"/>
    </xf>
    <xf numFmtId="0" fontId="19" fillId="11" borderId="27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/>
    </xf>
    <xf numFmtId="178" fontId="19" fillId="8" borderId="57" xfId="0" applyNumberFormat="1" applyFont="1" applyFill="1" applyBorder="1" applyAlignment="1">
      <alignment horizontal="center" vertical="center" shrinkToFit="1"/>
    </xf>
    <xf numFmtId="178" fontId="19" fillId="8" borderId="2" xfId="0" applyNumberFormat="1" applyFont="1" applyFill="1" applyBorder="1" applyAlignment="1">
      <alignment horizontal="center" vertical="center" shrinkToFit="1"/>
    </xf>
    <xf numFmtId="178" fontId="19" fillId="8" borderId="79" xfId="0" applyNumberFormat="1" applyFont="1" applyFill="1" applyBorder="1" applyAlignment="1">
      <alignment horizontal="center" vertical="center" shrinkToFit="1"/>
    </xf>
    <xf numFmtId="178" fontId="19" fillId="0" borderId="57" xfId="0" applyNumberFormat="1" applyFont="1" applyBorder="1" applyAlignment="1">
      <alignment horizontal="center" vertical="center" shrinkToFit="1"/>
    </xf>
    <xf numFmtId="178" fontId="19" fillId="0" borderId="2" xfId="0" applyNumberFormat="1" applyFont="1" applyBorder="1" applyAlignment="1">
      <alignment horizontal="center" vertical="center" shrinkToFit="1"/>
    </xf>
    <xf numFmtId="178" fontId="19" fillId="0" borderId="79" xfId="0" applyNumberFormat="1" applyFont="1" applyBorder="1" applyAlignment="1">
      <alignment horizontal="center" vertical="center" shrinkToFit="1"/>
    </xf>
    <xf numFmtId="178" fontId="19" fillId="0" borderId="56" xfId="0" applyNumberFormat="1" applyFont="1" applyBorder="1" applyAlignment="1">
      <alignment horizontal="center" vertical="center" shrinkToFit="1"/>
    </xf>
    <xf numFmtId="178" fontId="19" fillId="0" borderId="1" xfId="0" applyNumberFormat="1" applyFont="1" applyBorder="1" applyAlignment="1">
      <alignment horizontal="center" vertical="center" shrinkToFit="1"/>
    </xf>
    <xf numFmtId="178" fontId="19" fillId="0" borderId="66" xfId="0" applyNumberFormat="1" applyFont="1" applyBorder="1" applyAlignment="1">
      <alignment horizontal="center" vertical="center" shrinkToFit="1"/>
    </xf>
    <xf numFmtId="178" fontId="19" fillId="11" borderId="59" xfId="0" applyNumberFormat="1" applyFont="1" applyFill="1" applyBorder="1" applyAlignment="1">
      <alignment horizontal="center" vertical="center" shrinkToFit="1"/>
    </xf>
    <xf numFmtId="178" fontId="19" fillId="11" borderId="21" xfId="0" applyNumberFormat="1" applyFont="1" applyFill="1" applyBorder="1" applyAlignment="1">
      <alignment horizontal="center" vertical="center" shrinkToFit="1"/>
    </xf>
    <xf numFmtId="178" fontId="19" fillId="11" borderId="71" xfId="0" applyNumberFormat="1" applyFont="1" applyFill="1" applyBorder="1" applyAlignment="1">
      <alignment horizontal="center" vertical="center" shrinkToFit="1"/>
    </xf>
    <xf numFmtId="14" fontId="17" fillId="0" borderId="38" xfId="0" applyNumberFormat="1" applyFont="1" applyBorder="1" applyAlignment="1">
      <alignment horizontal="center" vertical="center" wrapText="1"/>
    </xf>
    <xf numFmtId="14" fontId="17" fillId="0" borderId="63" xfId="0" applyNumberFormat="1" applyFont="1" applyBorder="1" applyAlignment="1">
      <alignment horizontal="center" vertical="center" wrapText="1"/>
    </xf>
    <xf numFmtId="177" fontId="17" fillId="0" borderId="35" xfId="0" applyNumberFormat="1" applyFont="1" applyBorder="1" applyAlignment="1">
      <alignment horizontal="center" vertical="center" wrapText="1"/>
    </xf>
    <xf numFmtId="177" fontId="17" fillId="0" borderId="62" xfId="0" applyNumberFormat="1" applyFont="1" applyBorder="1" applyAlignment="1">
      <alignment horizontal="center" vertical="center" wrapText="1"/>
    </xf>
    <xf numFmtId="0" fontId="16" fillId="12" borderId="80" xfId="7" applyFont="1" applyFill="1" applyBorder="1" applyAlignment="1">
      <alignment horizontal="center" vertical="center" wrapText="1"/>
    </xf>
    <xf numFmtId="178" fontId="23" fillId="11" borderId="59" xfId="0" applyNumberFormat="1" applyFont="1" applyFill="1" applyBorder="1" applyAlignment="1">
      <alignment horizontal="center" vertical="center" wrapText="1"/>
    </xf>
    <xf numFmtId="178" fontId="23" fillId="11" borderId="21" xfId="0" applyNumberFormat="1" applyFont="1" applyFill="1" applyBorder="1" applyAlignment="1">
      <alignment horizontal="center" vertical="center" wrapText="1"/>
    </xf>
    <xf numFmtId="178" fontId="23" fillId="11" borderId="71" xfId="0" applyNumberFormat="1" applyFont="1" applyFill="1" applyBorder="1" applyAlignment="1">
      <alignment horizontal="center" vertical="center" wrapText="1"/>
    </xf>
    <xf numFmtId="178" fontId="23" fillId="8" borderId="56" xfId="0" applyNumberFormat="1" applyFont="1" applyFill="1" applyBorder="1" applyAlignment="1">
      <alignment horizontal="center" vertical="center" wrapText="1"/>
    </xf>
    <xf numFmtId="178" fontId="23" fillId="8" borderId="1" xfId="0" applyNumberFormat="1" applyFont="1" applyFill="1" applyBorder="1" applyAlignment="1">
      <alignment horizontal="center" vertical="center" wrapText="1"/>
    </xf>
    <xf numFmtId="178" fontId="23" fillId="8" borderId="66" xfId="0" applyNumberFormat="1" applyFont="1" applyFill="1" applyBorder="1" applyAlignment="1">
      <alignment horizontal="center" vertical="center" wrapText="1"/>
    </xf>
    <xf numFmtId="178" fontId="17" fillId="0" borderId="60" xfId="0" applyNumberFormat="1" applyFont="1" applyBorder="1" applyAlignment="1">
      <alignment horizontal="center" vertical="center" wrapText="1"/>
    </xf>
    <xf numFmtId="178" fontId="17" fillId="0" borderId="61" xfId="0" applyNumberFormat="1" applyFont="1" applyBorder="1" applyAlignment="1">
      <alignment horizontal="center" vertical="center" wrapText="1"/>
    </xf>
    <xf numFmtId="178" fontId="23" fillId="8" borderId="57" xfId="0" applyNumberFormat="1" applyFont="1" applyFill="1" applyBorder="1" applyAlignment="1">
      <alignment horizontal="center" vertical="center" wrapText="1"/>
    </xf>
    <xf numFmtId="178" fontId="23" fillId="8" borderId="2" xfId="0" applyNumberFormat="1" applyFont="1" applyFill="1" applyBorder="1" applyAlignment="1">
      <alignment horizontal="center" vertical="center" wrapText="1"/>
    </xf>
    <xf numFmtId="178" fontId="23" fillId="8" borderId="79" xfId="0" applyNumberFormat="1" applyFont="1" applyFill="1" applyBorder="1" applyAlignment="1">
      <alignment horizontal="center" vertical="center" wrapText="1"/>
    </xf>
    <xf numFmtId="178" fontId="23" fillId="0" borderId="78" xfId="0" applyNumberFormat="1" applyFont="1" applyBorder="1" applyAlignment="1">
      <alignment horizontal="center" vertical="center" wrapText="1"/>
    </xf>
    <xf numFmtId="178" fontId="23" fillId="0" borderId="67" xfId="0" applyNumberFormat="1" applyFont="1" applyBorder="1" applyAlignment="1">
      <alignment horizontal="center" vertical="center" wrapText="1"/>
    </xf>
    <xf numFmtId="178" fontId="23" fillId="0" borderId="68" xfId="0" applyNumberFormat="1" applyFont="1" applyBorder="1" applyAlignment="1">
      <alignment horizontal="center" vertical="center" wrapText="1"/>
    </xf>
    <xf numFmtId="178" fontId="23" fillId="8" borderId="77" xfId="0" applyNumberFormat="1" applyFont="1" applyFill="1" applyBorder="1" applyAlignment="1">
      <alignment horizontal="center" vertical="center" wrapText="1"/>
    </xf>
    <xf numFmtId="178" fontId="23" fillId="8" borderId="26" xfId="0" applyNumberFormat="1" applyFont="1" applyFill="1" applyBorder="1" applyAlignment="1">
      <alignment horizontal="center" vertical="center" wrapText="1"/>
    </xf>
    <xf numFmtId="178" fontId="23" fillId="8" borderId="51" xfId="0" applyNumberFormat="1" applyFont="1" applyFill="1" applyBorder="1" applyAlignment="1">
      <alignment horizontal="center" vertical="center" wrapText="1"/>
    </xf>
    <xf numFmtId="178" fontId="17" fillId="8" borderId="46" xfId="0" applyNumberFormat="1" applyFont="1" applyFill="1" applyBorder="1" applyAlignment="1">
      <alignment horizontal="center" vertical="center" wrapText="1"/>
    </xf>
    <xf numFmtId="178" fontId="17" fillId="8" borderId="65" xfId="0" applyNumberFormat="1" applyFont="1" applyFill="1" applyBorder="1" applyAlignment="1">
      <alignment horizontal="center" vertical="center" wrapText="1"/>
    </xf>
    <xf numFmtId="178" fontId="17" fillId="0" borderId="28" xfId="0" applyNumberFormat="1" applyFont="1" applyBorder="1" applyAlignment="1">
      <alignment horizontal="center" vertical="center" wrapText="1"/>
    </xf>
    <xf numFmtId="178" fontId="17" fillId="0" borderId="64" xfId="0" applyNumberFormat="1" applyFont="1" applyBorder="1" applyAlignment="1">
      <alignment horizontal="center" vertical="center" wrapText="1"/>
    </xf>
    <xf numFmtId="180" fontId="20" fillId="0" borderId="26" xfId="0" applyNumberFormat="1" applyFont="1" applyBorder="1" applyAlignment="1">
      <alignment horizontal="center" vertical="center" wrapText="1"/>
    </xf>
    <xf numFmtId="180" fontId="20" fillId="0" borderId="51" xfId="0" applyNumberFormat="1" applyFont="1" applyBorder="1" applyAlignment="1">
      <alignment horizontal="center" vertical="center" wrapText="1"/>
    </xf>
  </cellXfs>
  <cellStyles count="9">
    <cellStyle name="나쁨" xfId="3" xr:uid="{00000000-0005-0000-0000-000003000000}"/>
    <cellStyle name="백분율" xfId="4" builtinId="5"/>
    <cellStyle name="쉼표 [0]" xfId="1" builtinId="6"/>
    <cellStyle name="쉼표 [0] 2" xfId="8" xr:uid="{5CD02BF2-2079-4FDA-9984-6730512DC88F}"/>
    <cellStyle name="스타일 1" xfId="6" xr:uid="{C1596361-0029-4267-854D-2363CEBFF748}"/>
    <cellStyle name="좋음" xfId="2" xr:uid="{00000000-0005-0000-0000-000002000000}"/>
    <cellStyle name="표준" xfId="0" builtinId="0"/>
    <cellStyle name="표준 2" xfId="5" xr:uid="{51522571-D4F3-4C1F-8101-C0CAAB23CBA5}"/>
    <cellStyle name="표준 3" xfId="7" xr:uid="{4D21DD0A-5100-414F-9B40-05782226D8EC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FFFCC"/>
      <color rgb="FFFFFF99"/>
      <color rgb="FF0000FF"/>
      <color rgb="FFCE7270"/>
      <color rgb="FFFFCC66"/>
      <color rgb="FF0068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63</xdr:row>
      <xdr:rowOff>63500</xdr:rowOff>
    </xdr:from>
    <xdr:to>
      <xdr:col>9</xdr:col>
      <xdr:colOff>444499</xdr:colOff>
      <xdr:row>64</xdr:row>
      <xdr:rowOff>191254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4E82EAE-93E4-436A-82E3-07E7FF06D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0700" y="17183100"/>
          <a:ext cx="1447800" cy="483354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127000</xdr:colOff>
      <xdr:row>1</xdr:row>
      <xdr:rowOff>127000</xdr:rowOff>
    </xdr:from>
    <xdr:to>
      <xdr:col>9</xdr:col>
      <xdr:colOff>380999</xdr:colOff>
      <xdr:row>3</xdr:row>
      <xdr:rowOff>140454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58FE119-FFBE-4288-A1BA-9DD30CFB8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00" y="203200"/>
          <a:ext cx="1447800" cy="4833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C000"/>
  </sheetPr>
  <dimension ref="A1:O93"/>
  <sheetViews>
    <sheetView showGridLines="0" tabSelected="1" view="pageBreakPreview" zoomScale="73" zoomScaleNormal="73" zoomScaleSheetLayoutView="73" workbookViewId="0">
      <pane ySplit="7" topLeftCell="A49" activePane="bottomLeft" state="frozen"/>
      <selection activeCell="N18" sqref="N18"/>
      <selection pane="bottomLeft" activeCell="B1" sqref="B1:B1048576"/>
    </sheetView>
  </sheetViews>
  <sheetFormatPr defaultColWidth="8.69921875" defaultRowHeight="15.6"/>
  <cols>
    <col min="1" max="1" width="1.59765625" style="1" customWidth="1"/>
    <col min="2" max="2" width="14.59765625" style="1" customWidth="1"/>
    <col min="3" max="3" width="20.69921875" style="1" customWidth="1"/>
    <col min="4" max="4" width="19.19921875" style="1" customWidth="1"/>
    <col min="5" max="5" width="17.5" style="1" customWidth="1"/>
    <col min="6" max="6" width="18.59765625" style="1" customWidth="1"/>
    <col min="7" max="7" width="18.19921875" style="1" customWidth="1"/>
    <col min="8" max="10" width="7.69921875" style="1" customWidth="1"/>
    <col min="11" max="11" width="18.09765625" style="1" customWidth="1"/>
    <col min="12" max="12" width="18.59765625" style="1" customWidth="1"/>
    <col min="13" max="13" width="22" style="1" customWidth="1"/>
    <col min="14" max="14" width="18.69921875" style="1" customWidth="1"/>
    <col min="15" max="15" width="21" style="1" customWidth="1"/>
    <col min="16" max="16384" width="8.69921875" style="1"/>
  </cols>
  <sheetData>
    <row r="1" spans="2:15" ht="6" customHeight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2:15" s="11" customFormat="1" ht="30" customHeight="1">
      <c r="B2" s="10"/>
      <c r="C2" s="154" t="s">
        <v>59</v>
      </c>
      <c r="D2" s="154"/>
      <c r="E2" s="154"/>
      <c r="F2" s="154"/>
      <c r="G2" s="10"/>
      <c r="L2" s="10"/>
      <c r="M2" s="10" t="s">
        <v>58</v>
      </c>
      <c r="N2" s="10"/>
      <c r="O2" s="10"/>
    </row>
    <row r="3" spans="2:15" ht="6.75" customHeight="1">
      <c r="B3" s="7"/>
      <c r="C3" s="7"/>
      <c r="D3" s="7"/>
      <c r="E3" s="7"/>
      <c r="G3" s="7"/>
      <c r="H3" s="7"/>
      <c r="I3" s="7"/>
      <c r="J3" s="7"/>
      <c r="K3" s="7"/>
      <c r="M3" s="7"/>
      <c r="N3" s="7"/>
      <c r="O3" s="7"/>
    </row>
    <row r="4" spans="2:15" ht="20.25" customHeight="1" thickBot="1">
      <c r="B4" s="8"/>
      <c r="C4" s="9"/>
      <c r="D4" s="8"/>
      <c r="E4" s="9"/>
      <c r="F4" s="8"/>
      <c r="G4" s="8"/>
      <c r="H4" s="8"/>
      <c r="I4" s="8"/>
      <c r="J4" s="8"/>
      <c r="K4" s="8"/>
      <c r="L4" s="8"/>
      <c r="M4" s="9"/>
      <c r="N4" s="8"/>
      <c r="O4" s="9"/>
    </row>
    <row r="5" spans="2:15" ht="20.399999999999999" customHeight="1">
      <c r="B5" s="22"/>
      <c r="C5" s="40"/>
      <c r="D5" s="39"/>
      <c r="E5" s="40"/>
      <c r="F5" s="41"/>
      <c r="G5" s="206" t="s">
        <v>62</v>
      </c>
      <c r="H5" s="218" t="s">
        <v>36</v>
      </c>
      <c r="I5" s="218"/>
      <c r="J5" s="219"/>
      <c r="K5" s="209" t="s">
        <v>63</v>
      </c>
      <c r="L5" s="42"/>
      <c r="M5" s="43"/>
      <c r="N5" s="42"/>
      <c r="O5" s="42"/>
    </row>
    <row r="6" spans="2:15" ht="16.95" customHeight="1">
      <c r="B6" s="143"/>
      <c r="C6" s="161"/>
      <c r="D6" s="161"/>
      <c r="E6" s="161"/>
      <c r="F6" s="212"/>
      <c r="G6" s="207"/>
      <c r="H6" s="214" t="s">
        <v>37</v>
      </c>
      <c r="I6" s="214"/>
      <c r="J6" s="215"/>
      <c r="K6" s="210"/>
      <c r="L6" s="202"/>
      <c r="M6" s="204"/>
      <c r="N6" s="204"/>
      <c r="O6" s="204"/>
    </row>
    <row r="7" spans="2:15" ht="26.25" customHeight="1" thickBot="1">
      <c r="B7" s="144"/>
      <c r="C7" s="162"/>
      <c r="D7" s="162"/>
      <c r="E7" s="162"/>
      <c r="F7" s="213"/>
      <c r="G7" s="208"/>
      <c r="H7" s="216"/>
      <c r="I7" s="216"/>
      <c r="J7" s="217"/>
      <c r="K7" s="211"/>
      <c r="L7" s="203"/>
      <c r="M7" s="205"/>
      <c r="N7" s="205"/>
      <c r="O7" s="205"/>
    </row>
    <row r="8" spans="2:15" s="17" customFormat="1" ht="19.5" customHeight="1">
      <c r="B8" s="23"/>
      <c r="C8" s="44"/>
      <c r="D8" s="45"/>
      <c r="E8" s="46"/>
      <c r="F8" s="46"/>
      <c r="G8" s="47"/>
      <c r="H8" s="232" t="s">
        <v>38</v>
      </c>
      <c r="I8" s="232"/>
      <c r="J8" s="233"/>
      <c r="K8" s="48"/>
      <c r="L8" s="46"/>
      <c r="M8" s="44"/>
      <c r="N8" s="46"/>
      <c r="O8" s="46"/>
    </row>
    <row r="9" spans="2:15" s="18" customFormat="1" ht="19.5" customHeight="1">
      <c r="B9" s="24"/>
      <c r="C9" s="49"/>
      <c r="D9" s="50"/>
      <c r="E9" s="51"/>
      <c r="F9" s="51"/>
      <c r="G9" s="52"/>
      <c r="H9" s="234" t="s">
        <v>39</v>
      </c>
      <c r="I9" s="234"/>
      <c r="J9" s="235"/>
      <c r="K9" s="53"/>
      <c r="L9" s="51"/>
      <c r="M9" s="49"/>
      <c r="N9" s="51"/>
      <c r="O9" s="51"/>
    </row>
    <row r="10" spans="2:15" s="18" customFormat="1" ht="19.5" customHeight="1" thickBot="1">
      <c r="B10" s="25"/>
      <c r="C10" s="54"/>
      <c r="D10" s="55"/>
      <c r="E10" s="56"/>
      <c r="F10" s="56"/>
      <c r="G10" s="52"/>
      <c r="H10" s="234" t="s">
        <v>16</v>
      </c>
      <c r="I10" s="234"/>
      <c r="J10" s="235"/>
      <c r="K10" s="53"/>
      <c r="L10" s="54"/>
      <c r="M10" s="54"/>
      <c r="N10" s="56"/>
      <c r="O10" s="56"/>
    </row>
    <row r="11" spans="2:15" s="12" customFormat="1" ht="21" customHeight="1" thickTop="1">
      <c r="B11" s="26"/>
      <c r="C11" s="57"/>
      <c r="D11" s="58"/>
      <c r="E11" s="59"/>
      <c r="F11" s="60"/>
      <c r="G11" s="61">
        <f>SUM(B11:F11)</f>
        <v>0</v>
      </c>
      <c r="H11" s="169" t="s">
        <v>2</v>
      </c>
      <c r="I11" s="170"/>
      <c r="J11" s="171"/>
      <c r="K11" s="62">
        <f>SUM(L11:O11)</f>
        <v>0</v>
      </c>
      <c r="L11" s="63"/>
      <c r="M11" s="64"/>
      <c r="N11" s="63"/>
      <c r="O11" s="63"/>
    </row>
    <row r="12" spans="2:15" s="12" customFormat="1" ht="21" customHeight="1">
      <c r="B12" s="27"/>
      <c r="C12" s="65"/>
      <c r="D12" s="65"/>
      <c r="E12" s="65"/>
      <c r="F12" s="66"/>
      <c r="G12" s="67">
        <f>SUM(B12:F12)</f>
        <v>0</v>
      </c>
      <c r="H12" s="178" t="s">
        <v>5</v>
      </c>
      <c r="I12" s="179"/>
      <c r="J12" s="180"/>
      <c r="K12" s="68">
        <f>SUM(L12:O12)</f>
        <v>0</v>
      </c>
      <c r="L12" s="69"/>
      <c r="M12" s="69"/>
      <c r="N12" s="69"/>
      <c r="O12" s="69"/>
    </row>
    <row r="13" spans="2:15" s="12" customFormat="1" ht="21" customHeight="1">
      <c r="B13" s="28"/>
      <c r="C13" s="65"/>
      <c r="D13" s="65"/>
      <c r="E13" s="65"/>
      <c r="F13" s="66"/>
      <c r="G13" s="67">
        <f>SUM(B13:F13)</f>
        <v>0</v>
      </c>
      <c r="H13" s="178" t="s">
        <v>8</v>
      </c>
      <c r="I13" s="179"/>
      <c r="J13" s="180"/>
      <c r="K13" s="68">
        <f>SUM(L13:O13)</f>
        <v>0</v>
      </c>
      <c r="L13" s="69"/>
      <c r="M13" s="69"/>
      <c r="N13" s="69"/>
      <c r="O13" s="69"/>
    </row>
    <row r="14" spans="2:15" s="12" customFormat="1" ht="21" customHeight="1" thickBot="1">
      <c r="B14" s="29"/>
      <c r="C14" s="72"/>
      <c r="D14" s="72"/>
      <c r="E14" s="72"/>
      <c r="F14" s="73"/>
      <c r="G14" s="74">
        <f>SUM(B14:F14)</f>
        <v>0</v>
      </c>
      <c r="H14" s="184" t="s">
        <v>4</v>
      </c>
      <c r="I14" s="185"/>
      <c r="J14" s="186"/>
      <c r="K14" s="75">
        <f>SUM(L14:O14)</f>
        <v>0</v>
      </c>
      <c r="L14" s="71"/>
      <c r="M14" s="71"/>
      <c r="N14" s="71"/>
      <c r="O14" s="71"/>
    </row>
    <row r="15" spans="2:15" s="12" customFormat="1" ht="21" customHeight="1">
      <c r="B15" s="30"/>
      <c r="C15" s="78"/>
      <c r="D15" s="78"/>
      <c r="E15" s="78"/>
      <c r="F15" s="79"/>
      <c r="G15" s="80">
        <f>SUM(B15:F15)</f>
        <v>0</v>
      </c>
      <c r="H15" s="175" t="s">
        <v>33</v>
      </c>
      <c r="I15" s="176"/>
      <c r="J15" s="177"/>
      <c r="K15" s="81">
        <f>SUM(L15:O15)</f>
        <v>0</v>
      </c>
      <c r="L15" s="77"/>
      <c r="M15" s="77"/>
      <c r="N15" s="77"/>
      <c r="O15" s="77"/>
    </row>
    <row r="16" spans="2:15" s="12" customFormat="1" ht="21" customHeight="1" thickBot="1">
      <c r="B16" s="31"/>
      <c r="C16" s="84"/>
      <c r="D16" s="84"/>
      <c r="E16" s="84"/>
      <c r="F16" s="85"/>
      <c r="G16" s="74">
        <f>SUM(B16:F16)</f>
        <v>0</v>
      </c>
      <c r="H16" s="172" t="s">
        <v>41</v>
      </c>
      <c r="I16" s="173"/>
      <c r="J16" s="174"/>
      <c r="K16" s="75">
        <f>SUM(L16:O16)</f>
        <v>0</v>
      </c>
      <c r="L16" s="83"/>
      <c r="M16" s="83"/>
      <c r="N16" s="83"/>
      <c r="O16" s="83"/>
    </row>
    <row r="17" spans="2:15" s="12" customFormat="1" ht="21" customHeight="1">
      <c r="B17" s="32"/>
      <c r="C17" s="88"/>
      <c r="D17" s="89"/>
      <c r="E17" s="88"/>
      <c r="F17" s="90"/>
      <c r="G17" s="91">
        <f>SUM(B17:F17)</f>
        <v>0</v>
      </c>
      <c r="H17" s="181" t="s">
        <v>15</v>
      </c>
      <c r="I17" s="182"/>
      <c r="J17" s="183"/>
      <c r="K17" s="92">
        <f>SUM(L17:O17)</f>
        <v>0</v>
      </c>
      <c r="L17" s="87"/>
      <c r="M17" s="87"/>
      <c r="N17" s="87"/>
      <c r="O17" s="87"/>
    </row>
    <row r="18" spans="2:15" s="12" customFormat="1" ht="21" customHeight="1">
      <c r="B18" s="28"/>
      <c r="C18" s="94"/>
      <c r="D18" s="65"/>
      <c r="E18" s="94"/>
      <c r="F18" s="95"/>
      <c r="G18" s="67">
        <f>SUM(B18:F18)</f>
        <v>0</v>
      </c>
      <c r="H18" s="178" t="s">
        <v>17</v>
      </c>
      <c r="I18" s="179"/>
      <c r="J18" s="180"/>
      <c r="K18" s="68">
        <f>SUM(L18:O18)</f>
        <v>0</v>
      </c>
      <c r="L18" s="69"/>
      <c r="M18" s="69"/>
      <c r="N18" s="69"/>
      <c r="O18" s="69"/>
    </row>
    <row r="19" spans="2:15" s="12" customFormat="1" ht="21" customHeight="1">
      <c r="B19" s="28"/>
      <c r="C19" s="94"/>
      <c r="D19" s="65"/>
      <c r="E19" s="94"/>
      <c r="F19" s="95"/>
      <c r="G19" s="67">
        <f>SUM(B19:F19)</f>
        <v>0</v>
      </c>
      <c r="H19" s="178" t="s">
        <v>7</v>
      </c>
      <c r="I19" s="179"/>
      <c r="J19" s="180"/>
      <c r="K19" s="68">
        <f>SUM(L19:O19)</f>
        <v>0</v>
      </c>
      <c r="L19" s="69"/>
      <c r="M19" s="69"/>
      <c r="N19" s="69"/>
      <c r="O19" s="69"/>
    </row>
    <row r="20" spans="2:15" s="12" customFormat="1" ht="21" customHeight="1">
      <c r="B20" s="28"/>
      <c r="C20" s="94"/>
      <c r="D20" s="65"/>
      <c r="E20" s="94"/>
      <c r="F20" s="95"/>
      <c r="G20" s="67">
        <f>SUM(B20:F20)</f>
        <v>0</v>
      </c>
      <c r="H20" s="178" t="s">
        <v>9</v>
      </c>
      <c r="I20" s="179"/>
      <c r="J20" s="180"/>
      <c r="K20" s="68">
        <f>SUM(L20:O20)</f>
        <v>0</v>
      </c>
      <c r="L20" s="69"/>
      <c r="M20" s="69"/>
      <c r="N20" s="69"/>
      <c r="O20" s="69"/>
    </row>
    <row r="21" spans="2:15" s="12" customFormat="1" ht="21" customHeight="1" thickBot="1">
      <c r="B21" s="29"/>
      <c r="C21" s="96"/>
      <c r="D21" s="72"/>
      <c r="E21" s="96"/>
      <c r="F21" s="97"/>
      <c r="G21" s="74">
        <f>SUM(B21:F21)</f>
        <v>0</v>
      </c>
      <c r="H21" s="184" t="s">
        <v>10</v>
      </c>
      <c r="I21" s="185"/>
      <c r="J21" s="186"/>
      <c r="K21" s="75">
        <f>SUM(L21:O21)</f>
        <v>0</v>
      </c>
      <c r="L21" s="71"/>
      <c r="M21" s="71"/>
      <c r="N21" s="71"/>
      <c r="O21" s="71"/>
    </row>
    <row r="22" spans="2:15" s="12" customFormat="1" ht="21" customHeight="1">
      <c r="B22" s="30"/>
      <c r="C22" s="78"/>
      <c r="D22" s="78"/>
      <c r="E22" s="78"/>
      <c r="F22" s="79"/>
      <c r="G22" s="91">
        <f>SUM(B22:F22)</f>
        <v>0</v>
      </c>
      <c r="H22" s="181" t="s">
        <v>29</v>
      </c>
      <c r="I22" s="182"/>
      <c r="J22" s="183"/>
      <c r="K22" s="92">
        <f>SUM(L22:O22)</f>
        <v>0</v>
      </c>
      <c r="L22" s="77"/>
      <c r="M22" s="77"/>
      <c r="N22" s="77"/>
      <c r="O22" s="77"/>
    </row>
    <row r="23" spans="2:15" s="12" customFormat="1" ht="21" customHeight="1">
      <c r="B23" s="33"/>
      <c r="C23" s="99"/>
      <c r="D23" s="99"/>
      <c r="E23" s="99"/>
      <c r="F23" s="100"/>
      <c r="G23" s="67">
        <f>SUM(B23:F23)</f>
        <v>0</v>
      </c>
      <c r="H23" s="187" t="s">
        <v>30</v>
      </c>
      <c r="I23" s="188"/>
      <c r="J23" s="189"/>
      <c r="K23" s="68">
        <f>SUM(L23:O23)</f>
        <v>0</v>
      </c>
      <c r="L23" s="98"/>
      <c r="M23" s="98"/>
      <c r="N23" s="98"/>
      <c r="O23" s="98"/>
    </row>
    <row r="24" spans="2:15" s="12" customFormat="1" ht="21" customHeight="1">
      <c r="B24" s="33"/>
      <c r="C24" s="99"/>
      <c r="D24" s="99"/>
      <c r="E24" s="99"/>
      <c r="F24" s="100"/>
      <c r="G24" s="67">
        <f>SUM(B24:F24)</f>
        <v>0</v>
      </c>
      <c r="H24" s="187" t="s">
        <v>0</v>
      </c>
      <c r="I24" s="188"/>
      <c r="J24" s="189"/>
      <c r="K24" s="68">
        <f>SUM(L24:O24)</f>
        <v>0</v>
      </c>
      <c r="L24" s="98"/>
      <c r="M24" s="98"/>
      <c r="N24" s="98"/>
      <c r="O24" s="98"/>
    </row>
    <row r="25" spans="2:15" s="12" customFormat="1" ht="21" customHeight="1" thickBot="1">
      <c r="B25" s="31"/>
      <c r="C25" s="84"/>
      <c r="D25" s="84"/>
      <c r="E25" s="84"/>
      <c r="F25" s="85"/>
      <c r="G25" s="74">
        <f>SUM(B25:F25)</f>
        <v>0</v>
      </c>
      <c r="H25" s="151" t="s">
        <v>1</v>
      </c>
      <c r="I25" s="152"/>
      <c r="J25" s="153"/>
      <c r="K25" s="75">
        <f>SUM(L25:O25)</f>
        <v>0</v>
      </c>
      <c r="L25" s="83"/>
      <c r="M25" s="83"/>
      <c r="N25" s="83"/>
      <c r="O25" s="83"/>
    </row>
    <row r="26" spans="2:15" s="12" customFormat="1" ht="21" customHeight="1">
      <c r="B26" s="32"/>
      <c r="C26" s="89"/>
      <c r="D26" s="89"/>
      <c r="E26" s="89"/>
      <c r="F26" s="102"/>
      <c r="G26" s="91">
        <f>SUM(B26:F26)</f>
        <v>0</v>
      </c>
      <c r="H26" s="181" t="s">
        <v>28</v>
      </c>
      <c r="I26" s="182"/>
      <c r="J26" s="183"/>
      <c r="K26" s="92">
        <f>SUM(L26:O26)</f>
        <v>0</v>
      </c>
      <c r="L26" s="87"/>
      <c r="M26" s="87"/>
      <c r="N26" s="87"/>
      <c r="O26" s="87"/>
    </row>
    <row r="27" spans="2:15" s="12" customFormat="1" ht="21" customHeight="1">
      <c r="B27" s="28"/>
      <c r="C27" s="65"/>
      <c r="D27" s="65"/>
      <c r="E27" s="65"/>
      <c r="F27" s="66"/>
      <c r="G27" s="67">
        <f>SUM(B27:F27)</f>
        <v>0</v>
      </c>
      <c r="H27" s="178" t="s">
        <v>27</v>
      </c>
      <c r="I27" s="179"/>
      <c r="J27" s="180"/>
      <c r="K27" s="68">
        <f>SUM(L27:O27)</f>
        <v>0</v>
      </c>
      <c r="L27" s="69"/>
      <c r="M27" s="69"/>
      <c r="N27" s="69"/>
      <c r="O27" s="69"/>
    </row>
    <row r="28" spans="2:15" s="12" customFormat="1" ht="21" hidden="1" customHeight="1">
      <c r="B28" s="28"/>
      <c r="C28" s="65"/>
      <c r="D28" s="65"/>
      <c r="E28" s="65"/>
      <c r="F28" s="66"/>
      <c r="G28" s="67">
        <f>SUM(B28:F28)</f>
        <v>0</v>
      </c>
      <c r="H28" s="178" t="s">
        <v>24</v>
      </c>
      <c r="I28" s="179"/>
      <c r="J28" s="180"/>
      <c r="K28" s="68">
        <f>SUM(L28:O28)</f>
        <v>0</v>
      </c>
      <c r="L28" s="69"/>
      <c r="M28" s="69"/>
      <c r="N28" s="69"/>
      <c r="O28" s="69"/>
    </row>
    <row r="29" spans="2:15" s="12" customFormat="1" ht="21" customHeight="1">
      <c r="B29" s="28"/>
      <c r="C29" s="69"/>
      <c r="D29" s="69"/>
      <c r="E29" s="69"/>
      <c r="F29" s="66"/>
      <c r="G29" s="67">
        <f>SUM(B29:F29)</f>
        <v>0</v>
      </c>
      <c r="H29" s="178" t="s">
        <v>23</v>
      </c>
      <c r="I29" s="179"/>
      <c r="J29" s="180"/>
      <c r="K29" s="68">
        <f>SUM(L29:O29)</f>
        <v>0</v>
      </c>
      <c r="L29" s="69"/>
      <c r="M29" s="69"/>
      <c r="N29" s="69"/>
      <c r="O29" s="69"/>
    </row>
    <row r="30" spans="2:15" s="12" customFormat="1" ht="21" customHeight="1" thickBot="1">
      <c r="B30" s="29"/>
      <c r="C30" s="72"/>
      <c r="D30" s="72"/>
      <c r="E30" s="72"/>
      <c r="F30" s="73"/>
      <c r="G30" s="74">
        <f>SUM(B30:F30)</f>
        <v>0</v>
      </c>
      <c r="H30" s="184" t="s">
        <v>11</v>
      </c>
      <c r="I30" s="185"/>
      <c r="J30" s="186"/>
      <c r="K30" s="75">
        <f>SUM(L30:O30)</f>
        <v>0</v>
      </c>
      <c r="L30" s="71"/>
      <c r="M30" s="71"/>
      <c r="N30" s="71"/>
      <c r="O30" s="71"/>
    </row>
    <row r="31" spans="2:15" s="12" customFormat="1" ht="21" customHeight="1">
      <c r="B31" s="30"/>
      <c r="C31" s="77"/>
      <c r="D31" s="78"/>
      <c r="E31" s="77"/>
      <c r="F31" s="82"/>
      <c r="G31" s="91">
        <f>SUM(B31:F31)</f>
        <v>0</v>
      </c>
      <c r="H31" s="229" t="s">
        <v>13</v>
      </c>
      <c r="I31" s="230"/>
      <c r="J31" s="231"/>
      <c r="K31" s="92">
        <f>SUM(L31:O31)</f>
        <v>0</v>
      </c>
      <c r="L31" s="77"/>
      <c r="M31" s="77"/>
      <c r="N31" s="77"/>
      <c r="O31" s="77"/>
    </row>
    <row r="32" spans="2:15" s="12" customFormat="1" ht="21" customHeight="1">
      <c r="B32" s="33"/>
      <c r="C32" s="98"/>
      <c r="D32" s="99"/>
      <c r="E32" s="98"/>
      <c r="F32" s="101"/>
      <c r="G32" s="103">
        <f>SUM(B32:F32)</f>
        <v>0</v>
      </c>
      <c r="H32" s="226" t="s">
        <v>48</v>
      </c>
      <c r="I32" s="227"/>
      <c r="J32" s="228"/>
      <c r="K32" s="104">
        <f>SUM(L32:O32)</f>
        <v>0</v>
      </c>
      <c r="L32" s="98"/>
      <c r="M32" s="98"/>
      <c r="N32" s="98"/>
      <c r="O32" s="98"/>
    </row>
    <row r="33" spans="2:15" s="12" customFormat="1" ht="21" customHeight="1">
      <c r="B33" s="33"/>
      <c r="C33" s="98"/>
      <c r="D33" s="99"/>
      <c r="E33" s="98"/>
      <c r="F33" s="101"/>
      <c r="G33" s="103">
        <f>SUM(B33:F33)</f>
        <v>0</v>
      </c>
      <c r="H33" s="226" t="s">
        <v>49</v>
      </c>
      <c r="I33" s="227"/>
      <c r="J33" s="228"/>
      <c r="K33" s="104">
        <f>SUM(L33:O33)</f>
        <v>0</v>
      </c>
      <c r="L33" s="98"/>
      <c r="M33" s="98"/>
      <c r="N33" s="98"/>
      <c r="O33" s="98"/>
    </row>
    <row r="34" spans="2:15" s="12" customFormat="1" ht="21" customHeight="1">
      <c r="B34" s="33"/>
      <c r="C34" s="98"/>
      <c r="D34" s="99"/>
      <c r="E34" s="98"/>
      <c r="F34" s="101"/>
      <c r="G34" s="103">
        <f>SUM(B34:F34)</f>
        <v>0</v>
      </c>
      <c r="H34" s="226" t="s">
        <v>50</v>
      </c>
      <c r="I34" s="227"/>
      <c r="J34" s="228"/>
      <c r="K34" s="104">
        <f>SUM(L34:O34)</f>
        <v>0</v>
      </c>
      <c r="L34" s="98"/>
      <c r="M34" s="98"/>
      <c r="N34" s="98"/>
      <c r="O34" s="98"/>
    </row>
    <row r="35" spans="2:15" s="12" customFormat="1" ht="21" customHeight="1">
      <c r="B35" s="33"/>
      <c r="C35" s="98"/>
      <c r="D35" s="99"/>
      <c r="E35" s="98"/>
      <c r="F35" s="101"/>
      <c r="G35" s="103">
        <f>SUM(B35:F35)</f>
        <v>0</v>
      </c>
      <c r="H35" s="226" t="s">
        <v>51</v>
      </c>
      <c r="I35" s="227"/>
      <c r="J35" s="228"/>
      <c r="K35" s="104">
        <f>SUM(L35:O35)</f>
        <v>0</v>
      </c>
      <c r="L35" s="98"/>
      <c r="M35" s="98"/>
      <c r="N35" s="98"/>
      <c r="O35" s="98"/>
    </row>
    <row r="36" spans="2:15" s="12" customFormat="1" ht="21" customHeight="1" thickBot="1">
      <c r="B36" s="31"/>
      <c r="C36" s="83"/>
      <c r="D36" s="84"/>
      <c r="E36" s="83"/>
      <c r="F36" s="86"/>
      <c r="G36" s="105">
        <f>SUM(B36:F36)</f>
        <v>0</v>
      </c>
      <c r="H36" s="223" t="s">
        <v>52</v>
      </c>
      <c r="I36" s="224"/>
      <c r="J36" s="225"/>
      <c r="K36" s="106">
        <f>SUM(L36:O36)</f>
        <v>0</v>
      </c>
      <c r="L36" s="83"/>
      <c r="M36" s="83"/>
      <c r="N36" s="83"/>
      <c r="O36" s="83"/>
    </row>
    <row r="37" spans="2:15" s="12" customFormat="1" ht="21" customHeight="1">
      <c r="B37" s="32"/>
      <c r="C37" s="87"/>
      <c r="D37" s="89"/>
      <c r="E37" s="87"/>
      <c r="F37" s="93"/>
      <c r="G37" s="91">
        <f>SUM(B37:F37)</f>
        <v>0</v>
      </c>
      <c r="H37" s="229" t="s">
        <v>12</v>
      </c>
      <c r="I37" s="230"/>
      <c r="J37" s="231"/>
      <c r="K37" s="92">
        <f>SUM(L37:O37)</f>
        <v>0</v>
      </c>
      <c r="L37" s="87"/>
      <c r="M37" s="87"/>
      <c r="N37" s="87"/>
      <c r="O37" s="87"/>
    </row>
    <row r="38" spans="2:15" s="12" customFormat="1" ht="21" customHeight="1">
      <c r="B38" s="28"/>
      <c r="C38" s="69"/>
      <c r="D38" s="65"/>
      <c r="E38" s="69"/>
      <c r="F38" s="70"/>
      <c r="G38" s="103">
        <f>SUM(B38:F38)</f>
        <v>0</v>
      </c>
      <c r="H38" s="190" t="s">
        <v>53</v>
      </c>
      <c r="I38" s="191"/>
      <c r="J38" s="192"/>
      <c r="K38" s="104">
        <f>SUM(L38:O38)</f>
        <v>0</v>
      </c>
      <c r="L38" s="69"/>
      <c r="M38" s="69"/>
      <c r="N38" s="69"/>
      <c r="O38" s="69"/>
    </row>
    <row r="39" spans="2:15" s="12" customFormat="1" ht="21" customHeight="1">
      <c r="B39" s="28"/>
      <c r="C39" s="69"/>
      <c r="D39" s="65"/>
      <c r="E39" s="69"/>
      <c r="F39" s="70"/>
      <c r="G39" s="103">
        <f>SUM(B39:F39)</f>
        <v>0</v>
      </c>
      <c r="H39" s="190" t="s">
        <v>54</v>
      </c>
      <c r="I39" s="191"/>
      <c r="J39" s="192"/>
      <c r="K39" s="104">
        <f>SUM(L39:O39)</f>
        <v>0</v>
      </c>
      <c r="L39" s="69"/>
      <c r="M39" s="69"/>
      <c r="N39" s="69"/>
      <c r="O39" s="69"/>
    </row>
    <row r="40" spans="2:15" s="12" customFormat="1" ht="21" customHeight="1">
      <c r="B40" s="28"/>
      <c r="C40" s="69"/>
      <c r="D40" s="65"/>
      <c r="E40" s="69"/>
      <c r="F40" s="70"/>
      <c r="G40" s="103">
        <f>SUM(B40:F40)</f>
        <v>0</v>
      </c>
      <c r="H40" s="190" t="s">
        <v>55</v>
      </c>
      <c r="I40" s="191"/>
      <c r="J40" s="192"/>
      <c r="K40" s="104">
        <f>SUM(L40:O40)</f>
        <v>0</v>
      </c>
      <c r="L40" s="69"/>
      <c r="M40" s="69"/>
      <c r="N40" s="69"/>
      <c r="O40" s="69"/>
    </row>
    <row r="41" spans="2:15" s="12" customFormat="1" ht="21" customHeight="1">
      <c r="B41" s="28"/>
      <c r="C41" s="69"/>
      <c r="D41" s="65"/>
      <c r="E41" s="69"/>
      <c r="F41" s="70"/>
      <c r="G41" s="103">
        <f>SUM(B41:F41)</f>
        <v>0</v>
      </c>
      <c r="H41" s="190" t="s">
        <v>56</v>
      </c>
      <c r="I41" s="191"/>
      <c r="J41" s="192"/>
      <c r="K41" s="104">
        <f>SUM(L41:O41)</f>
        <v>0</v>
      </c>
      <c r="L41" s="69"/>
      <c r="M41" s="69"/>
      <c r="N41" s="69"/>
      <c r="O41" s="69"/>
    </row>
    <row r="42" spans="2:15" s="12" customFormat="1" ht="21" customHeight="1" thickBot="1">
      <c r="B42" s="29"/>
      <c r="C42" s="71"/>
      <c r="D42" s="72"/>
      <c r="E42" s="71"/>
      <c r="F42" s="76"/>
      <c r="G42" s="105">
        <f>SUM(B42:F42)</f>
        <v>0</v>
      </c>
      <c r="H42" s="220" t="s">
        <v>57</v>
      </c>
      <c r="I42" s="221"/>
      <c r="J42" s="222"/>
      <c r="K42" s="106">
        <f>SUM(L42:O42)</f>
        <v>0</v>
      </c>
      <c r="L42" s="71"/>
      <c r="M42" s="71"/>
      <c r="N42" s="71"/>
      <c r="O42" s="71"/>
    </row>
    <row r="43" spans="2:15" s="12" customFormat="1" ht="21" customHeight="1">
      <c r="B43" s="30"/>
      <c r="C43" s="78"/>
      <c r="D43" s="78"/>
      <c r="E43" s="78"/>
      <c r="F43" s="79"/>
      <c r="G43" s="80">
        <f>SUM(B43:F43)</f>
        <v>0</v>
      </c>
      <c r="H43" s="148" t="s">
        <v>42</v>
      </c>
      <c r="I43" s="149"/>
      <c r="J43" s="150"/>
      <c r="K43" s="81">
        <f>SUM(L43:O43)</f>
        <v>0</v>
      </c>
      <c r="L43" s="77"/>
      <c r="M43" s="77"/>
      <c r="N43" s="77"/>
      <c r="O43" s="77"/>
    </row>
    <row r="44" spans="2:15" s="12" customFormat="1" ht="21" customHeight="1" thickBot="1">
      <c r="B44" s="31"/>
      <c r="C44" s="84"/>
      <c r="D44" s="84"/>
      <c r="E44" s="84"/>
      <c r="F44" s="85"/>
      <c r="G44" s="74">
        <f>SUM(B44:F44)</f>
        <v>0</v>
      </c>
      <c r="H44" s="151" t="s">
        <v>43</v>
      </c>
      <c r="I44" s="152"/>
      <c r="J44" s="153"/>
      <c r="K44" s="75">
        <f>SUM(L44:O44)</f>
        <v>0</v>
      </c>
      <c r="L44" s="83"/>
      <c r="M44" s="83"/>
      <c r="N44" s="83"/>
      <c r="O44" s="83"/>
    </row>
    <row r="45" spans="2:15" s="12" customFormat="1" ht="21" customHeight="1">
      <c r="B45" s="32"/>
      <c r="C45" s="89"/>
      <c r="D45" s="89"/>
      <c r="E45" s="89"/>
      <c r="F45" s="102"/>
      <c r="G45" s="91">
        <f>SUM(B45:F45)</f>
        <v>0</v>
      </c>
      <c r="H45" s="237" t="s">
        <v>31</v>
      </c>
      <c r="I45" s="238"/>
      <c r="J45" s="239"/>
      <c r="K45" s="92">
        <f>SUM(L45:O45)</f>
        <v>0</v>
      </c>
      <c r="L45" s="87"/>
      <c r="M45" s="87"/>
      <c r="N45" s="87"/>
      <c r="O45" s="87"/>
    </row>
    <row r="46" spans="2:15" s="12" customFormat="1" ht="21" customHeight="1">
      <c r="B46" s="28"/>
      <c r="C46" s="65"/>
      <c r="D46" s="65"/>
      <c r="E46" s="65"/>
      <c r="F46" s="66"/>
      <c r="G46" s="67">
        <f>SUM(B46:F46)</f>
        <v>0</v>
      </c>
      <c r="H46" s="240" t="s">
        <v>34</v>
      </c>
      <c r="I46" s="241"/>
      <c r="J46" s="242"/>
      <c r="K46" s="68">
        <f>SUM(L46:O46)</f>
        <v>0</v>
      </c>
      <c r="L46" s="69"/>
      <c r="M46" s="69"/>
      <c r="N46" s="69"/>
      <c r="O46" s="69"/>
    </row>
    <row r="47" spans="2:15" s="12" customFormat="1" ht="21" customHeight="1">
      <c r="B47" s="28"/>
      <c r="C47" s="65"/>
      <c r="D47" s="65"/>
      <c r="E47" s="65"/>
      <c r="F47" s="66"/>
      <c r="G47" s="67">
        <f>SUM(B47:F47)</f>
        <v>0</v>
      </c>
      <c r="H47" s="178" t="s">
        <v>26</v>
      </c>
      <c r="I47" s="179"/>
      <c r="J47" s="180"/>
      <c r="K47" s="68">
        <f>SUM(L47:O47)</f>
        <v>0</v>
      </c>
      <c r="L47" s="69"/>
      <c r="M47" s="69"/>
      <c r="N47" s="69"/>
      <c r="O47" s="69"/>
    </row>
    <row r="48" spans="2:15" s="12" customFormat="1" ht="21" customHeight="1" thickBot="1">
      <c r="B48" s="29"/>
      <c r="C48" s="72"/>
      <c r="D48" s="72"/>
      <c r="E48" s="72"/>
      <c r="F48" s="73"/>
      <c r="G48" s="74">
        <f>SUM(B48:F48)</f>
        <v>0</v>
      </c>
      <c r="H48" s="245" t="s">
        <v>32</v>
      </c>
      <c r="I48" s="246"/>
      <c r="J48" s="247"/>
      <c r="K48" s="75">
        <f>SUM(L48:O48)</f>
        <v>0</v>
      </c>
      <c r="L48" s="71"/>
      <c r="M48" s="71"/>
      <c r="N48" s="71"/>
      <c r="O48" s="71"/>
    </row>
    <row r="49" spans="1:15" s="12" customFormat="1" ht="21" customHeight="1">
      <c r="B49" s="30"/>
      <c r="C49" s="78"/>
      <c r="D49" s="78"/>
      <c r="E49" s="78"/>
      <c r="F49" s="79"/>
      <c r="G49" s="80">
        <f>SUM(B49:F49)</f>
        <v>0</v>
      </c>
      <c r="H49" s="148" t="s">
        <v>60</v>
      </c>
      <c r="I49" s="149"/>
      <c r="J49" s="150"/>
      <c r="K49" s="81">
        <f>SUM(L49:O49)</f>
        <v>0</v>
      </c>
      <c r="L49" s="77"/>
      <c r="M49" s="77"/>
      <c r="N49" s="77"/>
      <c r="O49" s="77"/>
    </row>
    <row r="50" spans="1:15" s="12" customFormat="1" ht="21" customHeight="1" thickBot="1">
      <c r="B50" s="31"/>
      <c r="C50" s="84"/>
      <c r="D50" s="84"/>
      <c r="E50" s="84"/>
      <c r="F50" s="85"/>
      <c r="G50" s="74">
        <f>SUM(B50:F50)</f>
        <v>0</v>
      </c>
      <c r="H50" s="151" t="s">
        <v>61</v>
      </c>
      <c r="I50" s="152"/>
      <c r="J50" s="153"/>
      <c r="K50" s="75">
        <f>SUM(L50:O50)</f>
        <v>0</v>
      </c>
      <c r="L50" s="83"/>
      <c r="M50" s="83"/>
      <c r="N50" s="83"/>
      <c r="O50" s="83"/>
    </row>
    <row r="51" spans="1:15" s="12" customFormat="1" ht="21" customHeight="1">
      <c r="B51" s="32"/>
      <c r="C51" s="89"/>
      <c r="D51" s="89"/>
      <c r="E51" s="89"/>
      <c r="F51" s="102"/>
      <c r="G51" s="91">
        <f>SUM(B51:F51)</f>
        <v>0</v>
      </c>
      <c r="H51" s="237" t="s">
        <v>14</v>
      </c>
      <c r="I51" s="238"/>
      <c r="J51" s="239"/>
      <c r="K51" s="92">
        <f>SUM(L51:O51)</f>
        <v>0</v>
      </c>
      <c r="L51" s="87"/>
      <c r="M51" s="87"/>
      <c r="N51" s="87"/>
      <c r="O51" s="87"/>
    </row>
    <row r="52" spans="1:15" s="12" customFormat="1" ht="21" customHeight="1">
      <c r="B52" s="28"/>
      <c r="C52" s="65"/>
      <c r="D52" s="65"/>
      <c r="E52" s="65"/>
      <c r="F52" s="66"/>
      <c r="G52" s="67">
        <f>SUM(B52:F52)</f>
        <v>0</v>
      </c>
      <c r="H52" s="240" t="s">
        <v>25</v>
      </c>
      <c r="I52" s="241" t="s">
        <v>44</v>
      </c>
      <c r="J52" s="242"/>
      <c r="K52" s="68">
        <f>SUM(L52:O52)</f>
        <v>0</v>
      </c>
      <c r="L52" s="69"/>
      <c r="M52" s="69"/>
      <c r="N52" s="69"/>
      <c r="O52" s="69"/>
    </row>
    <row r="53" spans="1:15" s="12" customFormat="1" ht="21" customHeight="1">
      <c r="B53" s="28"/>
      <c r="C53" s="65"/>
      <c r="D53" s="65"/>
      <c r="E53" s="65"/>
      <c r="F53" s="66"/>
      <c r="G53" s="67">
        <f>SUM(B53:F53)</f>
        <v>0</v>
      </c>
      <c r="H53" s="240"/>
      <c r="I53" s="241" t="s">
        <v>45</v>
      </c>
      <c r="J53" s="242"/>
      <c r="K53" s="68">
        <f>SUM(L53:O53)</f>
        <v>0</v>
      </c>
      <c r="L53" s="69"/>
      <c r="M53" s="69"/>
      <c r="N53" s="69"/>
      <c r="O53" s="69"/>
    </row>
    <row r="54" spans="1:15" s="12" customFormat="1" ht="21" customHeight="1">
      <c r="B54" s="28"/>
      <c r="C54" s="65"/>
      <c r="D54" s="65"/>
      <c r="E54" s="65"/>
      <c r="F54" s="66"/>
      <c r="G54" s="67">
        <f>SUM(B54:F54)</f>
        <v>0</v>
      </c>
      <c r="H54" s="240" t="s">
        <v>64</v>
      </c>
      <c r="I54" s="241" t="s">
        <v>46</v>
      </c>
      <c r="J54" s="242"/>
      <c r="K54" s="68">
        <f>SUM(L54:O54)</f>
        <v>0</v>
      </c>
      <c r="L54" s="69"/>
      <c r="M54" s="69"/>
      <c r="N54" s="69"/>
      <c r="O54" s="69"/>
    </row>
    <row r="55" spans="1:15" s="12" customFormat="1" ht="21" customHeight="1">
      <c r="B55" s="28"/>
      <c r="C55" s="65"/>
      <c r="D55" s="65"/>
      <c r="E55" s="65"/>
      <c r="F55" s="66"/>
      <c r="G55" s="67">
        <f>SUM(B55:F55)</f>
        <v>0</v>
      </c>
      <c r="H55" s="240"/>
      <c r="I55" s="241" t="s">
        <v>47</v>
      </c>
      <c r="J55" s="242"/>
      <c r="K55" s="68">
        <f>SUM(L55:O55)</f>
        <v>0</v>
      </c>
      <c r="L55" s="69"/>
      <c r="M55" s="69"/>
      <c r="N55" s="69"/>
      <c r="O55" s="69"/>
    </row>
    <row r="56" spans="1:15" s="12" customFormat="1" ht="21" customHeight="1" thickBot="1">
      <c r="B56" s="34"/>
      <c r="C56" s="107"/>
      <c r="D56" s="108"/>
      <c r="E56" s="109"/>
      <c r="F56" s="110"/>
      <c r="G56" s="111">
        <f>SUM(B56:F56)</f>
        <v>0</v>
      </c>
      <c r="H56" s="251" t="s">
        <v>22</v>
      </c>
      <c r="I56" s="252"/>
      <c r="J56" s="253"/>
      <c r="K56" s="75">
        <f>SUM(L56:O56)</f>
        <v>0</v>
      </c>
      <c r="L56" s="112"/>
      <c r="M56" s="71"/>
      <c r="N56" s="112"/>
      <c r="O56" s="112"/>
    </row>
    <row r="57" spans="1:15" s="12" customFormat="1" ht="21" customHeight="1" thickBot="1">
      <c r="B57" s="35"/>
      <c r="C57" s="114"/>
      <c r="D57" s="115"/>
      <c r="E57" s="116"/>
      <c r="F57" s="117"/>
      <c r="G57" s="118">
        <f>SUM(B57:F57)</f>
        <v>0</v>
      </c>
      <c r="H57" s="248" t="s">
        <v>40</v>
      </c>
      <c r="I57" s="249"/>
      <c r="J57" s="250"/>
      <c r="K57" s="119">
        <f>SUM(L57:O57)</f>
        <v>0</v>
      </c>
      <c r="L57" s="120"/>
      <c r="M57" s="113"/>
      <c r="N57" s="120"/>
      <c r="O57" s="120"/>
    </row>
    <row r="58" spans="1:15" s="15" customFormat="1" ht="21" customHeight="1" thickBot="1">
      <c r="A58" s="16"/>
      <c r="B58" s="36"/>
      <c r="C58" s="121"/>
      <c r="D58" s="122"/>
      <c r="E58" s="123"/>
      <c r="F58" s="124"/>
      <c r="G58" s="125"/>
      <c r="H58" s="254" t="s">
        <v>6</v>
      </c>
      <c r="I58" s="254"/>
      <c r="J58" s="255"/>
      <c r="K58" s="126"/>
      <c r="L58" s="127"/>
      <c r="M58" s="128"/>
      <c r="N58" s="127"/>
      <c r="O58" s="127"/>
    </row>
    <row r="59" spans="1:15" s="13" customFormat="1" ht="21" customHeight="1" thickTop="1" thickBot="1">
      <c r="B59" s="37"/>
      <c r="C59" s="129"/>
      <c r="D59" s="130"/>
      <c r="E59" s="131"/>
      <c r="F59" s="131"/>
      <c r="G59" s="132">
        <f>SUM(B59:F59)</f>
        <v>0</v>
      </c>
      <c r="H59" s="243"/>
      <c r="I59" s="243"/>
      <c r="J59" s="244"/>
      <c r="K59" s="133">
        <f>SUM(L59:O59)</f>
        <v>0</v>
      </c>
      <c r="L59" s="134"/>
      <c r="M59" s="135"/>
      <c r="N59" s="134"/>
      <c r="O59" s="134"/>
    </row>
    <row r="60" spans="1:15" s="14" customFormat="1" ht="27.75" customHeight="1" thickTop="1">
      <c r="B60" s="155"/>
      <c r="C60" s="158"/>
      <c r="D60" s="145"/>
      <c r="E60" s="158"/>
      <c r="F60" s="163"/>
      <c r="G60" s="136" t="s">
        <v>21</v>
      </c>
      <c r="H60" s="256" t="s">
        <v>35</v>
      </c>
      <c r="I60" s="256"/>
      <c r="J60" s="257"/>
      <c r="K60" s="137" t="s">
        <v>21</v>
      </c>
      <c r="L60" s="158"/>
      <c r="M60" s="158"/>
      <c r="N60" s="158"/>
      <c r="O60" s="166"/>
    </row>
    <row r="61" spans="1:15" s="14" customFormat="1" ht="27.75" customHeight="1" thickBot="1">
      <c r="B61" s="156"/>
      <c r="C61" s="159"/>
      <c r="D61" s="146"/>
      <c r="E61" s="159"/>
      <c r="F61" s="164"/>
      <c r="G61" s="138">
        <f>G37+G39</f>
        <v>0</v>
      </c>
      <c r="H61" s="258">
        <f>K59-G59</f>
        <v>0</v>
      </c>
      <c r="I61" s="258"/>
      <c r="J61" s="259"/>
      <c r="K61" s="139">
        <f>K37+K39</f>
        <v>0</v>
      </c>
      <c r="L61" s="159"/>
      <c r="M61" s="159"/>
      <c r="N61" s="159"/>
      <c r="O61" s="167"/>
    </row>
    <row r="62" spans="1:15" s="14" customFormat="1" ht="27.75" customHeight="1">
      <c r="B62" s="156"/>
      <c r="C62" s="159"/>
      <c r="D62" s="146"/>
      <c r="E62" s="159"/>
      <c r="F62" s="164"/>
      <c r="G62" s="140" t="s">
        <v>20</v>
      </c>
      <c r="H62" s="193"/>
      <c r="I62" s="194"/>
      <c r="J62" s="195"/>
      <c r="K62" s="141" t="s">
        <v>20</v>
      </c>
      <c r="L62" s="159"/>
      <c r="M62" s="159"/>
      <c r="N62" s="159"/>
      <c r="O62" s="167"/>
    </row>
    <row r="63" spans="1:15" s="14" customFormat="1" ht="27.75" customHeight="1" thickBot="1">
      <c r="B63" s="156"/>
      <c r="C63" s="159"/>
      <c r="D63" s="146"/>
      <c r="E63" s="159"/>
      <c r="F63" s="164"/>
      <c r="G63" s="138">
        <f>G39</f>
        <v>0</v>
      </c>
      <c r="H63" s="196"/>
      <c r="I63" s="197"/>
      <c r="J63" s="198"/>
      <c r="K63" s="139">
        <f>K39</f>
        <v>0</v>
      </c>
      <c r="L63" s="159"/>
      <c r="M63" s="159"/>
      <c r="N63" s="159"/>
      <c r="O63" s="167"/>
    </row>
    <row r="64" spans="1:15" s="14" customFormat="1" ht="27.75" customHeight="1">
      <c r="B64" s="156"/>
      <c r="C64" s="159"/>
      <c r="D64" s="146"/>
      <c r="E64" s="159"/>
      <c r="F64" s="164"/>
      <c r="G64" s="140" t="s">
        <v>19</v>
      </c>
      <c r="H64" s="196"/>
      <c r="I64" s="197"/>
      <c r="J64" s="198"/>
      <c r="K64" s="141" t="s">
        <v>18</v>
      </c>
      <c r="L64" s="159"/>
      <c r="M64" s="159"/>
      <c r="N64" s="159"/>
      <c r="O64" s="167"/>
    </row>
    <row r="65" spans="2:15" s="14" customFormat="1" ht="27.75" customHeight="1" thickBot="1">
      <c r="B65" s="156"/>
      <c r="C65" s="159"/>
      <c r="D65" s="146"/>
      <c r="E65" s="159"/>
      <c r="F65" s="164"/>
      <c r="G65" s="138">
        <f>G45+G31</f>
        <v>0</v>
      </c>
      <c r="H65" s="196"/>
      <c r="I65" s="197"/>
      <c r="J65" s="198"/>
      <c r="K65" s="139">
        <f>K45+K31</f>
        <v>0</v>
      </c>
      <c r="L65" s="159"/>
      <c r="M65" s="159"/>
      <c r="N65" s="159"/>
      <c r="O65" s="167"/>
    </row>
    <row r="66" spans="2:15" s="14" customFormat="1" ht="27.75" customHeight="1">
      <c r="B66" s="156"/>
      <c r="C66" s="159"/>
      <c r="D66" s="146"/>
      <c r="E66" s="159"/>
      <c r="F66" s="164"/>
      <c r="G66" s="140" t="s">
        <v>3</v>
      </c>
      <c r="H66" s="196"/>
      <c r="I66" s="197"/>
      <c r="J66" s="198"/>
      <c r="K66" s="141" t="s">
        <v>3</v>
      </c>
      <c r="L66" s="159"/>
      <c r="M66" s="159"/>
      <c r="N66" s="159"/>
      <c r="O66" s="167"/>
    </row>
    <row r="67" spans="2:15" ht="27.75" customHeight="1" thickBot="1">
      <c r="B67" s="157"/>
      <c r="C67" s="160"/>
      <c r="D67" s="147"/>
      <c r="E67" s="160"/>
      <c r="F67" s="165"/>
      <c r="G67" s="142">
        <f>G15*0.05</f>
        <v>0</v>
      </c>
      <c r="H67" s="199"/>
      <c r="I67" s="200"/>
      <c r="J67" s="201"/>
      <c r="K67" s="139">
        <f>K15*0.05</f>
        <v>0</v>
      </c>
      <c r="L67" s="160"/>
      <c r="M67" s="160"/>
      <c r="N67" s="160"/>
      <c r="O67" s="168"/>
    </row>
    <row r="68" spans="2:15" ht="21" customHeight="1" thickTop="1" thickBot="1">
      <c r="B68" s="38"/>
      <c r="C68" s="236"/>
      <c r="D68" s="236"/>
      <c r="E68" s="236"/>
      <c r="F68" s="236"/>
      <c r="G68" s="236"/>
      <c r="H68" s="19"/>
      <c r="I68" s="19"/>
      <c r="J68" s="21"/>
      <c r="K68" s="236" t="s">
        <v>65</v>
      </c>
      <c r="L68" s="236"/>
      <c r="M68" s="236"/>
      <c r="N68" s="236"/>
      <c r="O68" s="236"/>
    </row>
    <row r="72" spans="2:15" ht="17.399999999999999">
      <c r="D72" s="20"/>
    </row>
    <row r="74" spans="2:15">
      <c r="F74" s="3"/>
      <c r="L74" s="3"/>
    </row>
    <row r="76" spans="2:15">
      <c r="F76" s="3"/>
      <c r="L76" s="3"/>
    </row>
    <row r="82" spans="6:12">
      <c r="K82" s="4"/>
    </row>
    <row r="83" spans="6:12">
      <c r="K83" s="4"/>
    </row>
    <row r="84" spans="6:12">
      <c r="F84" s="2"/>
      <c r="K84" s="4"/>
      <c r="L84" s="2"/>
    </row>
    <row r="85" spans="6:12">
      <c r="F85" s="2"/>
      <c r="K85" s="4"/>
      <c r="L85" s="2"/>
    </row>
    <row r="86" spans="6:12">
      <c r="F86" s="2"/>
      <c r="K86" s="4"/>
      <c r="L86" s="2"/>
    </row>
    <row r="87" spans="6:12">
      <c r="F87" s="2"/>
      <c r="K87" s="4"/>
      <c r="L87" s="2"/>
    </row>
    <row r="88" spans="6:12">
      <c r="F88" s="2"/>
      <c r="K88" s="4"/>
      <c r="L88" s="2"/>
    </row>
    <row r="89" spans="6:12">
      <c r="F89" s="2"/>
      <c r="L89" s="2"/>
    </row>
    <row r="90" spans="6:12">
      <c r="F90" s="2"/>
      <c r="L90" s="2"/>
    </row>
    <row r="91" spans="6:12">
      <c r="F91" s="2"/>
      <c r="L91" s="2"/>
    </row>
    <row r="93" spans="6:12">
      <c r="F93" s="5"/>
      <c r="L93" s="5"/>
    </row>
  </sheetData>
  <mergeCells count="82">
    <mergeCell ref="C68:G68"/>
    <mergeCell ref="K68:O68"/>
    <mergeCell ref="H45:J45"/>
    <mergeCell ref="H46:J46"/>
    <mergeCell ref="H47:J47"/>
    <mergeCell ref="H59:J59"/>
    <mergeCell ref="H48:J48"/>
    <mergeCell ref="H57:J57"/>
    <mergeCell ref="M60:M67"/>
    <mergeCell ref="N60:N67"/>
    <mergeCell ref="H56:J56"/>
    <mergeCell ref="H51:J51"/>
    <mergeCell ref="H58:J58"/>
    <mergeCell ref="H52:H53"/>
    <mergeCell ref="I52:J52"/>
    <mergeCell ref="I53:J53"/>
    <mergeCell ref="H54:H55"/>
    <mergeCell ref="I54:J54"/>
    <mergeCell ref="I55:J55"/>
    <mergeCell ref="H60:J60"/>
    <mergeCell ref="H61:J61"/>
    <mergeCell ref="H42:J42"/>
    <mergeCell ref="H41:J41"/>
    <mergeCell ref="H36:J36"/>
    <mergeCell ref="H35:J35"/>
    <mergeCell ref="H34:J34"/>
    <mergeCell ref="H33:J33"/>
    <mergeCell ref="H38:J38"/>
    <mergeCell ref="H32:J32"/>
    <mergeCell ref="H31:J31"/>
    <mergeCell ref="H37:J37"/>
    <mergeCell ref="H8:J8"/>
    <mergeCell ref="H18:J18"/>
    <mergeCell ref="H17:J17"/>
    <mergeCell ref="H27:J27"/>
    <mergeCell ref="H28:J28"/>
    <mergeCell ref="H29:J29"/>
    <mergeCell ref="H14:J14"/>
    <mergeCell ref="H13:J13"/>
    <mergeCell ref="H12:J12"/>
    <mergeCell ref="H9:J9"/>
    <mergeCell ref="H23:J23"/>
    <mergeCell ref="H10:J10"/>
    <mergeCell ref="N6:N7"/>
    <mergeCell ref="G5:G7"/>
    <mergeCell ref="K5:K7"/>
    <mergeCell ref="D6:D7"/>
    <mergeCell ref="F6:F7"/>
    <mergeCell ref="H6:J7"/>
    <mergeCell ref="H5:J5"/>
    <mergeCell ref="E6:E7"/>
    <mergeCell ref="H62:J67"/>
    <mergeCell ref="H30:J30"/>
    <mergeCell ref="C6:C7"/>
    <mergeCell ref="L6:L7"/>
    <mergeCell ref="O6:O7"/>
    <mergeCell ref="M6:M7"/>
    <mergeCell ref="O60:O67"/>
    <mergeCell ref="L60:L67"/>
    <mergeCell ref="C60:C67"/>
    <mergeCell ref="H11:J11"/>
    <mergeCell ref="H16:J16"/>
    <mergeCell ref="H15:J15"/>
    <mergeCell ref="H19:J19"/>
    <mergeCell ref="H26:J26"/>
    <mergeCell ref="H21:J21"/>
    <mergeCell ref="H20:J20"/>
    <mergeCell ref="H22:J22"/>
    <mergeCell ref="H25:J25"/>
    <mergeCell ref="H24:J24"/>
    <mergeCell ref="H44:J44"/>
    <mergeCell ref="H43:J43"/>
    <mergeCell ref="H40:J40"/>
    <mergeCell ref="H39:J39"/>
    <mergeCell ref="B6:B7"/>
    <mergeCell ref="H49:J49"/>
    <mergeCell ref="H50:J50"/>
    <mergeCell ref="C2:F2"/>
    <mergeCell ref="B60:B67"/>
    <mergeCell ref="D60:D67"/>
    <mergeCell ref="F60:F67"/>
    <mergeCell ref="E60:E67"/>
  </mergeCells>
  <phoneticPr fontId="5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49" orientation="portrait" r:id="rId1"/>
  <colBreaks count="1" manualBreakCount="1">
    <brk id="10" max="7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3950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보장분석 비교</vt:lpstr>
      <vt:lpstr>'보장분석 비교'!Print_Area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Home</cp:lastModifiedBy>
  <cp:revision>82</cp:revision>
  <cp:lastPrinted>2026-03-03T04:24:13Z</cp:lastPrinted>
  <dcterms:created xsi:type="dcterms:W3CDTF">2018-02-09T01:25:59Z</dcterms:created>
  <dcterms:modified xsi:type="dcterms:W3CDTF">2026-05-14T09:16:12Z</dcterms:modified>
  <cp:version>1100.0100.01</cp:version>
</cp:coreProperties>
</file>